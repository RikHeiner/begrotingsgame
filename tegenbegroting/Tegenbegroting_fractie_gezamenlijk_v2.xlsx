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menvatting" sheetId="1" state="visible" r:id="rId1"/>
    <sheet xmlns:r="http://schemas.openxmlformats.org/officeDocument/2006/relationships" name="Posten" sheetId="2" state="visible" r:id="rId2"/>
    <sheet xmlns:r="http://schemas.openxmlformats.org/officeDocument/2006/relationships" name="Meerjarig" sheetId="3" state="visible" r:id="rId3"/>
    <sheet xmlns:r="http://schemas.openxmlformats.org/officeDocument/2006/relationships" name="Eenmalig en overi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;[Red]-#,##0.000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FF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164" fontId="0" fillId="0" borderId="0" pivotButton="0" quotePrefix="0" xfId="0"/>
    <xf numFmtId="0" fontId="2" fillId="0" borderId="0" pivotButton="0" quotePrefix="0" xfId="0"/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22" customWidth="1" min="2" max="2"/>
    <col width="14" customWidth="1" min="3" max="3"/>
    <col width="12" customWidth="1" min="4" max="4"/>
  </cols>
  <sheetData>
    <row r="1">
      <c r="A1" s="1" t="inlineStr">
        <is>
          <t>Onderdeel</t>
        </is>
      </c>
      <c r="B1" s="1" t="inlineStr">
        <is>
          <t>Mijn model (v1, lineair)</t>
        </is>
      </c>
      <c r="C1" s="1" t="inlineStr">
        <is>
          <t>Game (v2)</t>
        </is>
      </c>
      <c r="D1" s="1" t="inlineStr">
        <is>
          <t>Verschil</t>
        </is>
      </c>
    </row>
    <row r="2">
      <c r="A2" t="inlineStr">
        <is>
          <t>Totaal ombuigingen en opbrengsten 2027</t>
        </is>
      </c>
      <c r="B2" s="2" t="n">
        <v>130.617</v>
      </c>
      <c r="C2" s="2" t="n">
        <v>138.212202</v>
      </c>
      <c r="D2" s="2">
        <f>C2-B2</f>
        <v/>
      </c>
    </row>
    <row r="3">
      <c r="A3" t="inlineStr">
        <is>
          <t>Totaal uitgaven 2027 (excl. storting)</t>
        </is>
      </c>
      <c r="B3" s="2" t="n">
        <v>79.142</v>
      </c>
      <c r="C3" s="2" t="n">
        <v>113.484509</v>
      </c>
      <c r="D3" s="2">
        <f>C3-B3</f>
        <v/>
      </c>
    </row>
    <row r="4">
      <c r="A4" t="inlineStr">
        <is>
          <t>Saldo 2027 = storting reserve</t>
        </is>
      </c>
      <c r="B4" s="2" t="n">
        <v>51.475</v>
      </c>
      <c r="C4" s="2" t="n">
        <v>24.727693</v>
      </c>
      <c r="D4" s="2">
        <f>C4-B4</f>
        <v/>
      </c>
    </row>
    <row r="5">
      <c r="A5" t="inlineStr">
        <is>
          <t>Saldo 2028</t>
        </is>
      </c>
      <c r="B5" s="2" t="n">
        <v>65.083</v>
      </c>
      <c r="C5" s="2" t="n">
        <v>60.52146877319118</v>
      </c>
      <c r="D5" s="2">
        <f>C5-B5</f>
        <v/>
      </c>
    </row>
    <row r="6">
      <c r="A6" t="inlineStr">
        <is>
          <t>Saldo 2029</t>
        </is>
      </c>
      <c r="B6" s="2" t="n">
        <v>79.039</v>
      </c>
      <c r="C6" s="2" t="n">
        <v>75.01463941390116</v>
      </c>
      <c r="D6" s="2">
        <f>C6-B6</f>
        <v/>
      </c>
    </row>
    <row r="7">
      <c r="A7" t="inlineStr">
        <is>
          <t>Saldo 2030</t>
        </is>
      </c>
      <c r="B7" s="2" t="n">
        <v>92.995</v>
      </c>
      <c r="C7" s="2" t="n">
        <v>88.26173969504369</v>
      </c>
      <c r="D7" s="2">
        <f>C7-B7</f>
        <v/>
      </c>
    </row>
    <row r="9">
      <c r="A9" t="inlineStr">
        <is>
          <t>Bron: Ontwerpbegroting 2027 gemeente Groningen; rekenmodel Begrotingsgame VVD Groningen (scenario midden), stand 31-10-2026.</t>
        </is>
      </c>
    </row>
    <row r="10">
      <c r="A10" t="inlineStr">
        <is>
          <t>Het oorspronkelijke xlsx was niet aangeleverd; "mijn model" is overgenomen uit de tabellen van Tegenbegroting_VVD_Groningen_2027_v1.docx.</t>
        </is>
      </c>
    </row>
    <row r="11">
      <c r="A11" t="inlineStr">
        <is>
          <t>Grootste oorzaken: kettingeffecten (subsidies opzeggen −13,4; Wmo-contracten −10,3; frictiekosten ambtenaren −10,9 eenmalig;</t>
        </is>
      </c>
    </row>
    <row r="12">
      <c r="A12" t="inlineStr">
        <is>
          <t>gemeenschappelijke regelingen −2,7 in 2027-2028; preventie → jeugdzorg/Wmo vanaf 2028) en drie programma's die in de game besparingen zijn i.p.v. uitgaven (+11,8).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12" customWidth="1" min="2" max="2"/>
    <col width="5" customWidth="1" min="3" max="3"/>
    <col width="24" customWidth="1" min="4" max="4"/>
    <col width="10" customWidth="1" min="5" max="5"/>
    <col width="9" customWidth="1" min="6" max="6"/>
    <col width="12" customWidth="1" min="7" max="7"/>
    <col width="14" customWidth="1" min="8" max="8"/>
    <col width="11" customWidth="1" min="9" max="9"/>
    <col width="12" customWidth="1" min="10" max="10"/>
    <col width="11" customWidth="1" min="11" max="11"/>
    <col width="11" customWidth="1" min="12" max="12"/>
    <col width="11" customWidth="1" min="13" max="13"/>
    <col width="70" customWidth="1" min="14" max="14"/>
  </cols>
  <sheetData>
    <row r="1">
      <c r="A1" s="1" t="inlineStr">
        <is>
          <t>Post (zoals in v2)</t>
        </is>
      </c>
      <c r="B1" s="1" t="inlineStr">
        <is>
          <t>Tabel</t>
        </is>
      </c>
      <c r="C1" s="1" t="inlineStr">
        <is>
          <t>S/I</t>
        </is>
      </c>
      <c r="D1" s="1" t="inlineStr">
        <is>
          <t>Game-id(s)</t>
        </is>
      </c>
      <c r="E1" s="1" t="inlineStr">
        <is>
          <t>Kettingeffect</t>
        </is>
      </c>
      <c r="F1" s="1" t="inlineStr">
        <is>
          <t>% (schuif)</t>
        </is>
      </c>
      <c r="G1" s="1" t="inlineStr">
        <is>
          <t>Basis netto 2027 (mln)</t>
        </is>
      </c>
      <c r="H1" s="1" t="inlineStr">
        <is>
          <t>Mijn bedrag 2027 (lineair, v1)</t>
        </is>
      </c>
      <c r="I1" s="1" t="inlineStr">
        <is>
          <t>Game 2027</t>
        </is>
      </c>
      <c r="J1" s="1" t="inlineStr">
        <is>
          <t>Verschil (game − v1)</t>
        </is>
      </c>
      <c r="K1" s="1" t="inlineStr">
        <is>
          <t>Game 2028</t>
        </is>
      </c>
      <c r="L1" s="1" t="inlineStr">
        <is>
          <t>Game 2029</t>
        </is>
      </c>
      <c r="M1" s="1" t="inlineStr">
        <is>
          <t>Game 2030</t>
        </is>
      </c>
      <c r="N1" s="1" t="inlineStr">
        <is>
          <t>Oorzaak verschil</t>
        </is>
      </c>
    </row>
    <row r="2">
      <c r="A2" t="inlineStr">
        <is>
          <t>Besparing overhead 20%</t>
        </is>
      </c>
      <c r="B2" t="inlineStr">
        <is>
          <t>Ombuiging</t>
        </is>
      </c>
      <c r="C2" t="inlineStr">
        <is>
          <t>S</t>
        </is>
      </c>
      <c r="D2" t="inlineStr">
        <is>
          <t>h1</t>
        </is>
      </c>
      <c r="E2" t="inlineStr"/>
      <c r="F2" t="inlineStr">
        <is>
          <t>20</t>
        </is>
      </c>
      <c r="G2" s="2" t="n">
        <v>131.5</v>
      </c>
      <c r="H2" s="2" t="n">
        <v>26.3</v>
      </c>
      <c r="I2" s="2" t="n">
        <v>26.3</v>
      </c>
      <c r="J2" s="2">
        <f>I2-H2</f>
        <v/>
      </c>
      <c r="K2" s="2" t="n">
        <v>26.3</v>
      </c>
      <c r="L2" s="2" t="n">
        <v>26.3</v>
      </c>
      <c r="M2" s="2" t="n">
        <v>26.3</v>
      </c>
      <c r="N2" t="inlineStr"/>
    </row>
    <row r="3">
      <c r="A3" t="inlineStr">
        <is>
          <t>Besparingen op het ambtenarenapparaat 15% (oplopend)</t>
        </is>
      </c>
      <c r="B3" t="inlineStr">
        <is>
          <t>Ombuiging</t>
        </is>
      </c>
      <c r="C3" t="inlineStr">
        <is>
          <t>S</t>
        </is>
      </c>
      <c r="D3" t="inlineStr">
        <is>
          <t>k_apparaat_15</t>
        </is>
      </c>
      <c r="E3" t="inlineStr"/>
      <c r="F3" t="inlineStr">
        <is>
          <t>15</t>
        </is>
      </c>
      <c r="G3" s="2" t="n"/>
      <c r="H3" s="2" t="n">
        <v>13.423</v>
      </c>
      <c r="I3" s="2" t="n">
        <v>13.423</v>
      </c>
      <c r="J3" s="2">
        <f>I3-H3</f>
        <v/>
      </c>
      <c r="K3" s="2" t="n">
        <v>26.846</v>
      </c>
      <c r="L3" s="2" t="n">
        <v>40.269</v>
      </c>
      <c r="M3" s="2" t="n">
        <v>53.692</v>
      </c>
      <c r="N3" t="inlineStr">
        <is>
          <t>Bedragen gelijk (25/50/75/100%); de game rekent daarnaast eenmalige frictiekosten (zie org_frictie).</t>
        </is>
      </c>
    </row>
    <row r="4">
      <c r="A4" t="inlineStr">
        <is>
          <t>Taakstelling cultuur, instellingen en subsidies 40%</t>
        </is>
      </c>
      <c r="B4" t="inlineStr">
        <is>
          <t>Ombuiging</t>
        </is>
      </c>
      <c r="C4" t="inlineStr">
        <is>
          <t>S</t>
        </is>
      </c>
      <c r="D4" t="inlineStr">
        <is>
          <t>c2</t>
        </is>
      </c>
      <c r="E4" t="inlineStr"/>
      <c r="F4" t="inlineStr">
        <is>
          <t>40</t>
        </is>
      </c>
      <c r="G4" s="2" t="n">
        <v>29</v>
      </c>
      <c r="H4" s="2" t="n">
        <v>11.6</v>
      </c>
      <c r="I4" s="2" t="n">
        <v>11.6</v>
      </c>
      <c r="J4" s="2">
        <f>I4-H4</f>
        <v/>
      </c>
      <c r="K4" s="2" t="n">
        <v>11.6</v>
      </c>
      <c r="L4" s="2" t="n">
        <v>11.6</v>
      </c>
      <c r="M4" s="2" t="n">
        <v>11.6</v>
      </c>
      <c r="N4" t="inlineStr"/>
    </row>
    <row r="5">
      <c r="A5" t="inlineStr">
        <is>
          <t>Wmo 15%</t>
        </is>
      </c>
      <c r="B5" t="inlineStr">
        <is>
          <t>Ombuiging</t>
        </is>
      </c>
      <c r="C5" t="inlineStr">
        <is>
          <t>S</t>
        </is>
      </c>
      <c r="D5" t="inlineStr">
        <is>
          <t>z3</t>
        </is>
      </c>
      <c r="E5" t="inlineStr"/>
      <c r="F5" t="inlineStr">
        <is>
          <t>15</t>
        </is>
      </c>
      <c r="G5" s="2" t="n">
        <v>68.8</v>
      </c>
      <c r="H5" s="2" t="n">
        <v>10.32</v>
      </c>
      <c r="I5" s="2" t="n">
        <v>10.32</v>
      </c>
      <c r="J5" s="2">
        <f>I5-H5</f>
        <v/>
      </c>
      <c r="K5" s="2" t="n">
        <v>10.32</v>
      </c>
      <c r="L5" s="2" t="n">
        <v>10.32</v>
      </c>
      <c r="M5" s="2" t="n">
        <v>10.32</v>
      </c>
      <c r="N5" t="inlineStr"/>
    </row>
    <row r="6">
      <c r="A6" t="inlineStr">
        <is>
          <t>Taakstelling WIJ-teams 20%</t>
        </is>
      </c>
      <c r="B6" t="inlineStr">
        <is>
          <t>Ombuiging</t>
        </is>
      </c>
      <c r="C6" t="inlineStr">
        <is>
          <t>S</t>
        </is>
      </c>
      <c r="D6" t="inlineStr">
        <is>
          <t>z4</t>
        </is>
      </c>
      <c r="E6" t="inlineStr"/>
      <c r="F6" t="inlineStr">
        <is>
          <t>20</t>
        </is>
      </c>
      <c r="G6" s="2" t="n">
        <v>46.3</v>
      </c>
      <c r="H6" s="2" t="n">
        <v>9.26</v>
      </c>
      <c r="I6" s="2" t="n">
        <v>9.26</v>
      </c>
      <c r="J6" s="2">
        <f>I6-H6</f>
        <v/>
      </c>
      <c r="K6" s="2" t="n">
        <v>9.26</v>
      </c>
      <c r="L6" s="2" t="n">
        <v>9.26</v>
      </c>
      <c r="M6" s="2" t="n">
        <v>9.26</v>
      </c>
      <c r="N6" t="inlineStr"/>
    </row>
    <row r="7">
      <c r="A7" t="inlineStr">
        <is>
          <t>Schrappen basisbanen 100%</t>
        </is>
      </c>
      <c r="B7" t="inlineStr">
        <is>
          <t>Ombuiging</t>
        </is>
      </c>
      <c r="C7" t="inlineStr">
        <is>
          <t>S</t>
        </is>
      </c>
      <c r="D7" t="inlineStr">
        <is>
          <t>s6</t>
        </is>
      </c>
      <c r="E7" t="inlineStr"/>
      <c r="F7" t="inlineStr">
        <is>
          <t>100</t>
        </is>
      </c>
      <c r="G7" s="2" t="n">
        <v>6.7</v>
      </c>
      <c r="H7" s="2" t="n">
        <v>6.7</v>
      </c>
      <c r="I7" s="2" t="n">
        <v>6.7</v>
      </c>
      <c r="J7" s="2">
        <f>I7-H7</f>
        <v/>
      </c>
      <c r="K7" s="2" t="n">
        <v>6.7</v>
      </c>
      <c r="L7" s="2" t="n">
        <v>6.7</v>
      </c>
      <c r="M7" s="2" t="n">
        <v>6.7</v>
      </c>
      <c r="N7" t="inlineStr"/>
    </row>
    <row r="8">
      <c r="A8" t="inlineStr">
        <is>
          <t>Klimaat- en energiebeleid (CDOKE) 60%</t>
        </is>
      </c>
      <c r="B8" t="inlineStr">
        <is>
          <t>Ombuiging</t>
        </is>
      </c>
      <c r="C8" t="inlineStr">
        <is>
          <t>S</t>
        </is>
      </c>
      <c r="D8" t="inlineStr">
        <is>
          <t>w12</t>
        </is>
      </c>
      <c r="E8" t="inlineStr"/>
      <c r="F8" t="inlineStr">
        <is>
          <t>60</t>
        </is>
      </c>
      <c r="G8" s="2" t="n">
        <v>10.9</v>
      </c>
      <c r="H8" s="2" t="n">
        <v>6.54</v>
      </c>
      <c r="I8" s="2" t="n">
        <v>6.54</v>
      </c>
      <c r="J8" s="2">
        <f>I8-H8</f>
        <v/>
      </c>
      <c r="K8" s="2" t="n">
        <v>6.54</v>
      </c>
      <c r="L8" s="2" t="n">
        <v>6.54</v>
      </c>
      <c r="M8" s="2" t="n">
        <v>6.54</v>
      </c>
      <c r="N8" t="inlineStr"/>
    </row>
    <row r="9">
      <c r="A9" t="inlineStr">
        <is>
          <t>Taakstelling armoede- en minimaregelingen 40%</t>
        </is>
      </c>
      <c r="B9" t="inlineStr">
        <is>
          <t>Ombuiging</t>
        </is>
      </c>
      <c r="C9" t="inlineStr">
        <is>
          <t>S</t>
        </is>
      </c>
      <c r="D9" t="inlineStr">
        <is>
          <t>s10</t>
        </is>
      </c>
      <c r="E9" t="inlineStr"/>
      <c r="F9" t="inlineStr">
        <is>
          <t>40</t>
        </is>
      </c>
      <c r="G9" s="2" t="n">
        <v>13.9</v>
      </c>
      <c r="H9" s="2" t="n">
        <v>5.56</v>
      </c>
      <c r="I9" s="2" t="n">
        <v>5.56</v>
      </c>
      <c r="J9" s="2">
        <f>I9-H9</f>
        <v/>
      </c>
      <c r="K9" s="2" t="n">
        <v>5.56</v>
      </c>
      <c r="L9" s="2" t="n">
        <v>5.56</v>
      </c>
      <c r="M9" s="2" t="n">
        <v>5.56</v>
      </c>
      <c r="N9" t="inlineStr"/>
    </row>
    <row r="10">
      <c r="A10" t="inlineStr">
        <is>
          <t>Stadsschouwburg en Oosterpoort 40%</t>
        </is>
      </c>
      <c r="B10" t="inlineStr">
        <is>
          <t>Ombuiging</t>
        </is>
      </c>
      <c r="C10" t="inlineStr">
        <is>
          <t>S</t>
        </is>
      </c>
      <c r="D10" t="inlineStr">
        <is>
          <t>c1</t>
        </is>
      </c>
      <c r="E10" t="inlineStr"/>
      <c r="F10" t="inlineStr">
        <is>
          <t>40</t>
        </is>
      </c>
      <c r="G10" s="2" t="n">
        <v>10.7</v>
      </c>
      <c r="H10" s="2" t="n">
        <v>4.28</v>
      </c>
      <c r="I10" s="2" t="n">
        <v>4.28</v>
      </c>
      <c r="J10" s="2">
        <f>I10-H10</f>
        <v/>
      </c>
      <c r="K10" s="2" t="n">
        <v>4.28</v>
      </c>
      <c r="L10" s="2" t="n">
        <v>4.28</v>
      </c>
      <c r="M10" s="2" t="n">
        <v>4.28</v>
      </c>
      <c r="N10" t="inlineStr"/>
    </row>
    <row r="11">
      <c r="A11" t="inlineStr">
        <is>
          <t>Sociale samenhang in wijken 45%</t>
        </is>
      </c>
      <c r="B11" t="inlineStr">
        <is>
          <t>Ombuiging</t>
        </is>
      </c>
      <c r="C11" t="inlineStr">
        <is>
          <t>S</t>
        </is>
      </c>
      <c r="D11" t="inlineStr">
        <is>
          <t>z9</t>
        </is>
      </c>
      <c r="E11" t="inlineStr"/>
      <c r="F11" t="inlineStr">
        <is>
          <t>45</t>
        </is>
      </c>
      <c r="G11" s="2" t="n">
        <v>7.1</v>
      </c>
      <c r="H11" s="2" t="n">
        <v>3.195</v>
      </c>
      <c r="I11" s="2" t="n">
        <v>3.195</v>
      </c>
      <c r="J11" s="2">
        <f>I11-H11</f>
        <v/>
      </c>
      <c r="K11" s="2" t="n">
        <v>3.195</v>
      </c>
      <c r="L11" s="2" t="n">
        <v>3.195</v>
      </c>
      <c r="M11" s="2" t="n">
        <v>3.195</v>
      </c>
      <c r="N11" t="inlineStr"/>
    </row>
    <row r="12">
      <c r="A12" t="inlineStr">
        <is>
          <t>Taakstelling individuele inkomenstoeslag 75%</t>
        </is>
      </c>
      <c r="B12" t="inlineStr">
        <is>
          <t>Ombuiging</t>
        </is>
      </c>
      <c r="C12" t="inlineStr">
        <is>
          <t>S</t>
        </is>
      </c>
      <c r="D12" t="inlineStr">
        <is>
          <t>s12</t>
        </is>
      </c>
      <c r="E12" t="inlineStr"/>
      <c r="F12" t="inlineStr">
        <is>
          <t>75</t>
        </is>
      </c>
      <c r="G12" s="2" t="n">
        <v>4.2</v>
      </c>
      <c r="H12" s="2" t="n">
        <v>3.15</v>
      </c>
      <c r="I12" s="2" t="n">
        <v>3.15</v>
      </c>
      <c r="J12" s="2">
        <f>I12-H12</f>
        <v/>
      </c>
      <c r="K12" s="2" t="n">
        <v>3.15</v>
      </c>
      <c r="L12" s="2" t="n">
        <v>3.15</v>
      </c>
      <c r="M12" s="2" t="n">
        <v>3.15</v>
      </c>
      <c r="N12" t="inlineStr"/>
    </row>
    <row r="13">
      <c r="A13" t="inlineStr">
        <is>
          <t>Gezondheid (GGD) 20%</t>
        </is>
      </c>
      <c r="B13" t="inlineStr">
        <is>
          <t>Ombuiging</t>
        </is>
      </c>
      <c r="C13" t="inlineStr">
        <is>
          <t>S</t>
        </is>
      </c>
      <c r="D13" t="inlineStr">
        <is>
          <t>z6</t>
        </is>
      </c>
      <c r="E13" t="inlineStr"/>
      <c r="F13" t="inlineStr">
        <is>
          <t>20</t>
        </is>
      </c>
      <c r="G13" s="2" t="n">
        <v>12</v>
      </c>
      <c r="H13" s="2" t="n">
        <v>2.4</v>
      </c>
      <c r="I13" s="2" t="n">
        <v>2.4</v>
      </c>
      <c r="J13" s="2">
        <f>I13-H13</f>
        <v/>
      </c>
      <c r="K13" s="2" t="n">
        <v>2.4</v>
      </c>
      <c r="L13" s="2" t="n">
        <v>2.4</v>
      </c>
      <c r="M13" s="2" t="n">
        <v>2.4</v>
      </c>
      <c r="N13" t="inlineStr"/>
    </row>
    <row r="14">
      <c r="A14" t="inlineStr">
        <is>
          <t>Concernposten 40%</t>
        </is>
      </c>
      <c r="B14" t="inlineStr">
        <is>
          <t>Ombuiging</t>
        </is>
      </c>
      <c r="C14" t="inlineStr">
        <is>
          <t>S</t>
        </is>
      </c>
      <c r="D14" t="inlineStr">
        <is>
          <t>g7</t>
        </is>
      </c>
      <c r="E14" t="inlineStr"/>
      <c r="F14" t="inlineStr">
        <is>
          <t>40</t>
        </is>
      </c>
      <c r="G14" s="2" t="n">
        <v>5.9</v>
      </c>
      <c r="H14" s="2" t="n">
        <v>2.36</v>
      </c>
      <c r="I14" s="2" t="n">
        <v>2.36</v>
      </c>
      <c r="J14" s="2">
        <f>I14-H14</f>
        <v/>
      </c>
      <c r="K14" s="2" t="n">
        <v>2.36</v>
      </c>
      <c r="L14" s="2" t="n">
        <v>2.36</v>
      </c>
      <c r="M14" s="2" t="n">
        <v>2.36</v>
      </c>
      <c r="N14" t="inlineStr"/>
    </row>
    <row r="15">
      <c r="A15" t="inlineStr">
        <is>
          <t>Welzijnsinstellingen en buurthuizen 25%</t>
        </is>
      </c>
      <c r="B15" t="inlineStr">
        <is>
          <t>Ombuiging</t>
        </is>
      </c>
      <c r="C15" t="inlineStr">
        <is>
          <t>S</t>
        </is>
      </c>
      <c r="D15" t="inlineStr">
        <is>
          <t>z8</t>
        </is>
      </c>
      <c r="E15" t="inlineStr"/>
      <c r="F15" t="inlineStr">
        <is>
          <t>25</t>
        </is>
      </c>
      <c r="G15" s="2" t="n">
        <v>8.453999999999999</v>
      </c>
      <c r="H15" s="2" t="n">
        <v>2.125</v>
      </c>
      <c r="I15" s="2" t="n">
        <v>2.1135</v>
      </c>
      <c r="J15" s="2">
        <f>I15-H15</f>
        <v/>
      </c>
      <c r="K15" s="2" t="n">
        <v>2.1135</v>
      </c>
      <c r="L15" s="2" t="n">
        <v>2.1135</v>
      </c>
      <c r="M15" s="2" t="n">
        <v>2.1135</v>
      </c>
      <c r="N15" t="inlineStr">
        <is>
          <t>Basis: game netto 8,454 (lasten 8,7 − baten 0,246); lineair rekende met 8,5.</t>
        </is>
      </c>
    </row>
    <row r="16">
      <c r="A16" t="inlineStr">
        <is>
          <t>Wijkvernieuwing 30%</t>
        </is>
      </c>
      <c r="B16" t="inlineStr">
        <is>
          <t>Ombuiging</t>
        </is>
      </c>
      <c r="C16" t="inlineStr">
        <is>
          <t>S</t>
        </is>
      </c>
      <c r="D16" t="inlineStr">
        <is>
          <t>g4</t>
        </is>
      </c>
      <c r="E16" t="inlineStr"/>
      <c r="F16" t="inlineStr">
        <is>
          <t>30</t>
        </is>
      </c>
      <c r="G16" s="2" t="n">
        <v>6.15</v>
      </c>
      <c r="H16" s="2" t="n">
        <v>1.86</v>
      </c>
      <c r="I16" s="2" t="n">
        <v>1.845</v>
      </c>
      <c r="J16" s="2">
        <f>I16-H16</f>
        <v/>
      </c>
      <c r="K16" s="2" t="n">
        <v>1.845</v>
      </c>
      <c r="L16" s="2" t="n">
        <v>1.845</v>
      </c>
      <c r="M16" s="2" t="n">
        <v>1.845</v>
      </c>
      <c r="N16" t="inlineStr">
        <is>
          <t>Basis: game 6,15; lineair 6,2.</t>
        </is>
      </c>
    </row>
    <row r="17">
      <c r="A17" t="inlineStr">
        <is>
          <t>Kettingeffect: lager parkeertarief trekt meer bezoekers</t>
        </is>
      </c>
      <c r="B17" t="inlineStr">
        <is>
          <t>Ombuiging</t>
        </is>
      </c>
      <c r="C17" t="inlineStr">
        <is>
          <t>S</t>
        </is>
      </c>
      <c r="D17" t="inlineStr">
        <is>
          <t>ec_parkeren_elasticiteit</t>
        </is>
      </c>
      <c r="E17" t="inlineStr">
        <is>
          <t>ja</t>
        </is>
      </c>
      <c r="F17" t="inlineStr"/>
      <c r="G17" s="2" t="n"/>
      <c r="H17" s="2" t="n">
        <v>0</v>
      </c>
      <c r="I17" s="2" t="n">
        <v>1.742352</v>
      </c>
      <c r="J17" s="2">
        <f>I17-H17</f>
        <v/>
      </c>
      <c r="K17" s="2" t="n">
        <v>1.742352</v>
      </c>
      <c r="L17" s="2" t="n">
        <v>1.742352</v>
      </c>
      <c r="M17" s="2" t="n">
        <v>1.742352</v>
      </c>
      <c r="N17" t="inlineStr">
        <is>
          <t>Nieuwe regel: kettingeffect uit de game (niet in het lineaire model).</t>
        </is>
      </c>
    </row>
    <row r="18">
      <c r="A18" t="inlineStr">
        <is>
          <t>Natuur- en duurzaamheidseducatie 100%</t>
        </is>
      </c>
      <c r="B18" t="inlineStr">
        <is>
          <t>Ombuiging</t>
        </is>
      </c>
      <c r="C18" t="inlineStr">
        <is>
          <t>S</t>
        </is>
      </c>
      <c r="D18" t="inlineStr">
        <is>
          <t>d6</t>
        </is>
      </c>
      <c r="E18" t="inlineStr"/>
      <c r="F18" t="inlineStr">
        <is>
          <t>100</t>
        </is>
      </c>
      <c r="G18" s="2" t="n">
        <v>1.4</v>
      </c>
      <c r="H18" s="2" t="n">
        <v>1.4</v>
      </c>
      <c r="I18" s="2" t="n">
        <v>1.4</v>
      </c>
      <c r="J18" s="2">
        <f>I18-H18</f>
        <v/>
      </c>
      <c r="K18" s="2" t="n">
        <v>1.4</v>
      </c>
      <c r="L18" s="2" t="n">
        <v>1.4</v>
      </c>
      <c r="M18" s="2" t="n">
        <v>1.4</v>
      </c>
      <c r="N18" t="inlineStr"/>
    </row>
    <row r="19">
      <c r="A19" t="inlineStr">
        <is>
          <t>Bijzondere bijstand 25%</t>
        </is>
      </c>
      <c r="B19" t="inlineStr">
        <is>
          <t>Ombuiging</t>
        </is>
      </c>
      <c r="C19" t="inlineStr">
        <is>
          <t>S</t>
        </is>
      </c>
      <c r="D19" t="inlineStr">
        <is>
          <t>s11</t>
        </is>
      </c>
      <c r="E19" t="inlineStr"/>
      <c r="F19" t="inlineStr">
        <is>
          <t>25</t>
        </is>
      </c>
      <c r="G19" s="2" t="n">
        <v>5.44</v>
      </c>
      <c r="H19" s="2" t="n">
        <v>1.35</v>
      </c>
      <c r="I19" s="2" t="n">
        <v>1.36</v>
      </c>
      <c r="J19" s="2">
        <f>I19-H19</f>
        <v/>
      </c>
      <c r="K19" s="2" t="n">
        <v>1.36</v>
      </c>
      <c r="L19" s="2" t="n">
        <v>1.36</v>
      </c>
      <c r="M19" s="2" t="n">
        <v>1.36</v>
      </c>
      <c r="N19" t="inlineStr">
        <is>
          <t>Basis: game netto 5,44 (5,9 − 0,46); lineair 5,4.</t>
        </is>
      </c>
    </row>
    <row r="20">
      <c r="A20" t="inlineStr">
        <is>
          <t>Ambtenaren mobiliteit 40%</t>
        </is>
      </c>
      <c r="B20" t="inlineStr">
        <is>
          <t>Ombuiging</t>
        </is>
      </c>
      <c r="C20" t="inlineStr">
        <is>
          <t>S</t>
        </is>
      </c>
      <c r="D20" t="inlineStr">
        <is>
          <t>m11</t>
        </is>
      </c>
      <c r="E20" t="inlineStr"/>
      <c r="F20" t="inlineStr">
        <is>
          <t>40</t>
        </is>
      </c>
      <c r="G20" s="2" t="n">
        <v>3.3</v>
      </c>
      <c r="H20" s="2" t="n">
        <v>1.32</v>
      </c>
      <c r="I20" s="2" t="n">
        <v>1.32</v>
      </c>
      <c r="J20" s="2">
        <f>I20-H20</f>
        <v/>
      </c>
      <c r="K20" s="2" t="n">
        <v>1.32</v>
      </c>
      <c r="L20" s="2" t="n">
        <v>1.32</v>
      </c>
      <c r="M20" s="2" t="n">
        <v>1.32</v>
      </c>
      <c r="N20" t="inlineStr"/>
    </row>
    <row r="21">
      <c r="A21" t="inlineStr">
        <is>
          <t>Ambtenaren wonen 25%</t>
        </is>
      </c>
      <c r="B21" t="inlineStr">
        <is>
          <t>Ombuiging</t>
        </is>
      </c>
      <c r="C21" t="inlineStr">
        <is>
          <t>S</t>
        </is>
      </c>
      <c r="D21" t="inlineStr">
        <is>
          <t>w4</t>
        </is>
      </c>
      <c r="E21" t="inlineStr"/>
      <c r="F21" t="inlineStr">
        <is>
          <t>25</t>
        </is>
      </c>
      <c r="G21" s="2" t="n">
        <v>4.9</v>
      </c>
      <c r="H21" s="2" t="n">
        <v>1.225</v>
      </c>
      <c r="I21" s="2" t="n">
        <v>1.225</v>
      </c>
      <c r="J21" s="2">
        <f>I21-H21</f>
        <v/>
      </c>
      <c r="K21" s="2" t="n">
        <v>1.225</v>
      </c>
      <c r="L21" s="2" t="n">
        <v>1.225</v>
      </c>
      <c r="M21" s="2" t="n">
        <v>1.225</v>
      </c>
      <c r="N21" t="inlineStr"/>
    </row>
    <row r="22">
      <c r="A22" t="inlineStr">
        <is>
          <t>Diversiteit en inclusie 85%</t>
        </is>
      </c>
      <c r="B22" t="inlineStr">
        <is>
          <t>Ombuiging</t>
        </is>
      </c>
      <c r="C22" t="inlineStr">
        <is>
          <t>S</t>
        </is>
      </c>
      <c r="D22" t="inlineStr">
        <is>
          <t>z10</t>
        </is>
      </c>
      <c r="E22" t="inlineStr"/>
      <c r="F22" t="inlineStr">
        <is>
          <t>85</t>
        </is>
      </c>
      <c r="G22" s="2" t="n">
        <v>1.4</v>
      </c>
      <c r="H22" s="2" t="n">
        <v>1.19</v>
      </c>
      <c r="I22" s="2" t="n">
        <v>1.19</v>
      </c>
      <c r="J22" s="2">
        <f>I22-H22</f>
        <v/>
      </c>
      <c r="K22" s="2" t="n">
        <v>1.19</v>
      </c>
      <c r="L22" s="2" t="n">
        <v>1.19</v>
      </c>
      <c r="M22" s="2" t="n">
        <v>1.19</v>
      </c>
      <c r="N22" t="inlineStr"/>
    </row>
    <row r="23">
      <c r="A23" t="inlineStr">
        <is>
          <t>Cultuur- en evenementenbeleid 10%</t>
        </is>
      </c>
      <c r="B23" t="inlineStr">
        <is>
          <t>Ombuiging</t>
        </is>
      </c>
      <c r="C23" t="inlineStr">
        <is>
          <t>S</t>
        </is>
      </c>
      <c r="D23" t="inlineStr">
        <is>
          <t>c3</t>
        </is>
      </c>
      <c r="E23" t="inlineStr"/>
      <c r="F23" t="inlineStr">
        <is>
          <t>10</t>
        </is>
      </c>
      <c r="G23" s="2" t="n">
        <v>10</v>
      </c>
      <c r="H23" s="2" t="n">
        <v>1</v>
      </c>
      <c r="I23" s="2" t="n">
        <v>1</v>
      </c>
      <c r="J23" s="2">
        <f>I23-H23</f>
        <v/>
      </c>
      <c r="K23" s="2" t="n">
        <v>1</v>
      </c>
      <c r="L23" s="2" t="n">
        <v>1</v>
      </c>
      <c r="M23" s="2" t="n">
        <v>1</v>
      </c>
      <c r="N23" t="inlineStr"/>
    </row>
    <row r="24">
      <c r="A24" t="inlineStr">
        <is>
          <t>Extra geld energietransitie 40%</t>
        </is>
      </c>
      <c r="B24" t="inlineStr">
        <is>
          <t>Ombuiging</t>
        </is>
      </c>
      <c r="C24" t="inlineStr">
        <is>
          <t>S</t>
        </is>
      </c>
      <c r="D24" t="inlineStr">
        <is>
          <t>w7</t>
        </is>
      </c>
      <c r="E24" t="inlineStr"/>
      <c r="F24" t="inlineStr">
        <is>
          <t>40</t>
        </is>
      </c>
      <c r="G24" s="2" t="n">
        <v>2.3</v>
      </c>
      <c r="H24" s="2" t="n">
        <v>0.92</v>
      </c>
      <c r="I24" s="2" t="n">
        <v>0.92</v>
      </c>
      <c r="J24" s="2">
        <f>I24-H24</f>
        <v/>
      </c>
      <c r="K24" s="2" t="n">
        <v>0.92</v>
      </c>
      <c r="L24" s="2" t="n">
        <v>0.92</v>
      </c>
      <c r="M24" s="2" t="n">
        <v>0.92</v>
      </c>
      <c r="N24" t="inlineStr"/>
    </row>
    <row r="25">
      <c r="A25" t="inlineStr">
        <is>
          <t>Uitvoering mobiliteitsvisie 55%</t>
        </is>
      </c>
      <c r="B25" t="inlineStr">
        <is>
          <t>Ombuiging</t>
        </is>
      </c>
      <c r="C25" t="inlineStr">
        <is>
          <t>S</t>
        </is>
      </c>
      <c r="D25" t="inlineStr">
        <is>
          <t>m4</t>
        </is>
      </c>
      <c r="E25" t="inlineStr"/>
      <c r="F25" t="inlineStr">
        <is>
          <t>55</t>
        </is>
      </c>
      <c r="G25" s="2" t="n">
        <v>1.56</v>
      </c>
      <c r="H25" s="2" t="n">
        <v>0.88</v>
      </c>
      <c r="I25" s="2" t="n">
        <v>0.8580000000000001</v>
      </c>
      <c r="J25" s="2">
        <f>I25-H25</f>
        <v/>
      </c>
      <c r="K25" s="2" t="n">
        <v>0.8580000000000001</v>
      </c>
      <c r="L25" s="2" t="n">
        <v>0.8580000000000001</v>
      </c>
      <c r="M25" s="2" t="n">
        <v>0.8580000000000001</v>
      </c>
      <c r="N25" t="inlineStr">
        <is>
          <t>Basis: game 1,56; lineair 1,6.</t>
        </is>
      </c>
    </row>
    <row r="26">
      <c r="A26" t="inlineStr">
        <is>
          <t>Cultureel vastgoed 25%</t>
        </is>
      </c>
      <c r="B26" t="inlineStr">
        <is>
          <t>Ombuiging</t>
        </is>
      </c>
      <c r="C26" t="inlineStr">
        <is>
          <t>S</t>
        </is>
      </c>
      <c r="D26" t="inlineStr">
        <is>
          <t>c5</t>
        </is>
      </c>
      <c r="E26" t="inlineStr"/>
      <c r="F26" t="inlineStr">
        <is>
          <t>25</t>
        </is>
      </c>
      <c r="G26" s="2" t="n">
        <v>3.4</v>
      </c>
      <c r="H26" s="2" t="n">
        <v>0.85</v>
      </c>
      <c r="I26" s="2" t="n">
        <v>0.85</v>
      </c>
      <c r="J26" s="2">
        <f>I26-H26</f>
        <v/>
      </c>
      <c r="K26" s="2" t="n">
        <v>0.85</v>
      </c>
      <c r="L26" s="2" t="n">
        <v>0.85</v>
      </c>
      <c r="M26" s="2" t="n">
        <v>0.85</v>
      </c>
      <c r="N26" t="inlineStr"/>
    </row>
    <row r="27">
      <c r="A27" t="inlineStr">
        <is>
          <t>Strategisch bezit en grondzaken 35%</t>
        </is>
      </c>
      <c r="B27" t="inlineStr">
        <is>
          <t>Ombuiging</t>
        </is>
      </c>
      <c r="C27" t="inlineStr">
        <is>
          <t>S</t>
        </is>
      </c>
      <c r="D27" t="inlineStr">
        <is>
          <t>e7</t>
        </is>
      </c>
      <c r="E27" t="inlineStr"/>
      <c r="F27" t="inlineStr">
        <is>
          <t>35</t>
        </is>
      </c>
      <c r="G27" s="2" t="n">
        <v>2.399999999999999</v>
      </c>
      <c r="H27" s="2" t="n">
        <v>0.84</v>
      </c>
      <c r="I27" s="2" t="n">
        <v>0.8399999999999995</v>
      </c>
      <c r="J27" s="2">
        <f>I27-H27</f>
        <v/>
      </c>
      <c r="K27" s="2" t="n">
        <v>0.8399999999999995</v>
      </c>
      <c r="L27" s="2" t="n">
        <v>0.8399999999999995</v>
      </c>
      <c r="M27" s="2" t="n">
        <v>0.8399999999999995</v>
      </c>
      <c r="N27" t="inlineStr"/>
    </row>
    <row r="28">
      <c r="A28" t="inlineStr">
        <is>
          <t>Samenwerkingsverbanden 30%</t>
        </is>
      </c>
      <c r="B28" t="inlineStr">
        <is>
          <t>Ombuiging</t>
        </is>
      </c>
      <c r="C28" t="inlineStr">
        <is>
          <t>S</t>
        </is>
      </c>
      <c r="D28" t="inlineStr">
        <is>
          <t>g5</t>
        </is>
      </c>
      <c r="E28" t="inlineStr"/>
      <c r="F28" t="inlineStr">
        <is>
          <t>30</t>
        </is>
      </c>
      <c r="G28" s="2" t="n">
        <v>2.1</v>
      </c>
      <c r="H28" s="2" t="n">
        <v>0.63</v>
      </c>
      <c r="I28" s="2" t="n">
        <v>0.63</v>
      </c>
      <c r="J28" s="2">
        <f>I28-H28</f>
        <v/>
      </c>
      <c r="K28" s="2" t="n">
        <v>0.63</v>
      </c>
      <c r="L28" s="2" t="n">
        <v>0.63</v>
      </c>
      <c r="M28" s="2" t="n">
        <v>0.63</v>
      </c>
      <c r="N28" t="inlineStr"/>
    </row>
    <row r="29">
      <c r="A29" t="inlineStr">
        <is>
          <t>Minder wethouders 24%</t>
        </is>
      </c>
      <c r="B29" t="inlineStr">
        <is>
          <t>Ombuiging</t>
        </is>
      </c>
      <c r="C29" t="inlineStr">
        <is>
          <t>S</t>
        </is>
      </c>
      <c r="D29" t="inlineStr">
        <is>
          <t>g1</t>
        </is>
      </c>
      <c r="E29" t="inlineStr"/>
      <c r="F29" t="inlineStr">
        <is>
          <t>24</t>
        </is>
      </c>
      <c r="G29" s="2" t="n">
        <v>2.4</v>
      </c>
      <c r="H29" s="2" t="n">
        <v>0.576</v>
      </c>
      <c r="I29" s="2" t="n">
        <v>0.576</v>
      </c>
      <c r="J29" s="2">
        <f>I29-H29</f>
        <v/>
      </c>
      <c r="K29" s="2" t="n">
        <v>0.576</v>
      </c>
      <c r="L29" s="2" t="n">
        <v>0.576</v>
      </c>
      <c r="M29" s="2" t="n">
        <v>0.576</v>
      </c>
      <c r="N29" t="inlineStr"/>
    </row>
    <row r="30">
      <c r="A30" t="inlineStr">
        <is>
          <t>Energiesubsidies 55%</t>
        </is>
      </c>
      <c r="B30" t="inlineStr">
        <is>
          <t>Ombuiging</t>
        </is>
      </c>
      <c r="C30" t="inlineStr">
        <is>
          <t>S</t>
        </is>
      </c>
      <c r="D30" t="inlineStr">
        <is>
          <t>w6</t>
        </is>
      </c>
      <c r="E30" t="inlineStr"/>
      <c r="F30" t="inlineStr">
        <is>
          <t>55</t>
        </is>
      </c>
      <c r="G30" s="2" t="n">
        <v>1</v>
      </c>
      <c r="H30" s="2" t="n">
        <v>0.55</v>
      </c>
      <c r="I30" s="2" t="n">
        <v>0.5499999999999998</v>
      </c>
      <c r="J30" s="2">
        <f>I30-H30</f>
        <v/>
      </c>
      <c r="K30" s="2" t="n">
        <v>0.5499999999999998</v>
      </c>
      <c r="L30" s="2" t="n">
        <v>0.5499999999999998</v>
      </c>
      <c r="M30" s="2" t="n">
        <v>0.5499999999999998</v>
      </c>
      <c r="N30" t="inlineStr"/>
    </row>
    <row r="31">
      <c r="A31" t="inlineStr">
        <is>
          <t>Minder bouwregels: welstandsvrij bouwen</t>
        </is>
      </c>
      <c r="B31" t="inlineStr">
        <is>
          <t>Ombuiging</t>
        </is>
      </c>
      <c r="C31" t="inlineStr">
        <is>
          <t>S</t>
        </is>
      </c>
      <c r="D31" t="inlineStr">
        <is>
          <t>k_minder_bouwregels</t>
        </is>
      </c>
      <c r="E31" t="inlineStr"/>
      <c r="F31" t="inlineStr"/>
      <c r="G31" s="2" t="n"/>
      <c r="H31" s="2" t="n">
        <v>0.49</v>
      </c>
      <c r="I31" s="2" t="n">
        <v>0.49</v>
      </c>
      <c r="J31" s="2">
        <f>I31-H31</f>
        <v/>
      </c>
      <c r="K31" s="2" t="n">
        <v>0.49</v>
      </c>
      <c r="L31" s="2" t="n">
        <v>0.49</v>
      </c>
      <c r="M31" s="2" t="n">
        <v>0.49</v>
      </c>
      <c r="N31" t="inlineStr"/>
    </row>
    <row r="32">
      <c r="A32" t="inlineStr">
        <is>
          <t>Kettingeffect: meer begeleiding naar werk, minder bijstand</t>
        </is>
      </c>
      <c r="B32" t="inlineStr">
        <is>
          <t>Ombuiging</t>
        </is>
      </c>
      <c r="C32" t="inlineStr">
        <is>
          <t>S</t>
        </is>
      </c>
      <c r="D32" t="inlineStr">
        <is>
          <t>wia_reintegratie</t>
        </is>
      </c>
      <c r="E32" t="inlineStr">
        <is>
          <t>ja</t>
        </is>
      </c>
      <c r="F32" t="inlineStr"/>
      <c r="G32" s="2" t="n"/>
      <c r="H32" s="2" t="n">
        <v>0</v>
      </c>
      <c r="I32" s="2" t="n">
        <v>0.48195</v>
      </c>
      <c r="J32" s="2">
        <f>I32-H32</f>
        <v/>
      </c>
      <c r="K32" s="2" t="n">
        <v>1.12455</v>
      </c>
      <c r="L32" s="2" t="n">
        <v>1.6065</v>
      </c>
      <c r="M32" s="2" t="n">
        <v>1.6065</v>
      </c>
      <c r="N32" t="inlineStr">
        <is>
          <t>Nieuwe regel: kettingeffect uit de game (niet in het lineaire model).</t>
        </is>
      </c>
    </row>
    <row r="33">
      <c r="A33" t="inlineStr">
        <is>
          <t>Regio Groningen-Assen 25%</t>
        </is>
      </c>
      <c r="B33" t="inlineStr">
        <is>
          <t>Ombuiging</t>
        </is>
      </c>
      <c r="C33" t="inlineStr">
        <is>
          <t>S</t>
        </is>
      </c>
      <c r="D33" t="inlineStr">
        <is>
          <t>e9</t>
        </is>
      </c>
      <c r="E33" t="inlineStr"/>
      <c r="F33" t="inlineStr">
        <is>
          <t>25</t>
        </is>
      </c>
      <c r="G33" s="2" t="n">
        <v>1.1</v>
      </c>
      <c r="H33" s="2" t="n">
        <v>0.275</v>
      </c>
      <c r="I33" s="2" t="n">
        <v>0.275</v>
      </c>
      <c r="J33" s="2">
        <f>I33-H33</f>
        <v/>
      </c>
      <c r="K33" s="2" t="n">
        <v>0.275</v>
      </c>
      <c r="L33" s="2" t="n">
        <v>0.275</v>
      </c>
      <c r="M33" s="2" t="n">
        <v>0.275</v>
      </c>
      <c r="N33" t="inlineStr"/>
    </row>
    <row r="34">
      <c r="A34" t="inlineStr">
        <is>
          <t>Geo en data 15%</t>
        </is>
      </c>
      <c r="B34" t="inlineStr">
        <is>
          <t>Ombuiging</t>
        </is>
      </c>
      <c r="C34" t="inlineStr">
        <is>
          <t>S</t>
        </is>
      </c>
      <c r="D34" t="inlineStr">
        <is>
          <t>o8</t>
        </is>
      </c>
      <c r="E34" t="inlineStr"/>
      <c r="F34" t="inlineStr">
        <is>
          <t>15</t>
        </is>
      </c>
      <c r="G34" s="2" t="n">
        <v>1.8</v>
      </c>
      <c r="H34" s="2" t="n">
        <v>0.27</v>
      </c>
      <c r="I34" s="2" t="n">
        <v>0.27</v>
      </c>
      <c r="J34" s="2">
        <f>I34-H34</f>
        <v/>
      </c>
      <c r="K34" s="2" t="n">
        <v>0.27</v>
      </c>
      <c r="L34" s="2" t="n">
        <v>0.27</v>
      </c>
      <c r="M34" s="2" t="n">
        <v>0.27</v>
      </c>
      <c r="N34" t="inlineStr"/>
    </row>
    <row r="35">
      <c r="A35" t="inlineStr">
        <is>
          <t>Aanpak Oosterhamrikzone 100%</t>
        </is>
      </c>
      <c r="B35" t="inlineStr">
        <is>
          <t>Ombuiging</t>
        </is>
      </c>
      <c r="C35" t="inlineStr">
        <is>
          <t>S</t>
        </is>
      </c>
      <c r="D35" t="inlineStr">
        <is>
          <t>m9</t>
        </is>
      </c>
      <c r="E35" t="inlineStr"/>
      <c r="F35" t="inlineStr">
        <is>
          <t>100</t>
        </is>
      </c>
      <c r="G35" s="2" t="n">
        <v>0.25</v>
      </c>
      <c r="H35" s="2" t="n">
        <v>0.3</v>
      </c>
      <c r="I35" s="2" t="n">
        <v>0.25</v>
      </c>
      <c r="J35" s="2">
        <f>I35-H35</f>
        <v/>
      </c>
      <c r="K35" s="2" t="n">
        <v>0.25</v>
      </c>
      <c r="L35" s="2" t="n">
        <v>0.25</v>
      </c>
      <c r="M35" s="2" t="n">
        <v>0.25</v>
      </c>
      <c r="N35" t="inlineStr">
        <is>
          <t>Basis: game 0,25; lineair 0,3.</t>
        </is>
      </c>
    </row>
    <row r="36">
      <c r="A36" t="inlineStr">
        <is>
          <t>Opvang vluchtelingen en asielzoekers 16,7%</t>
        </is>
      </c>
      <c r="B36" t="inlineStr">
        <is>
          <t>Ombuiging</t>
        </is>
      </c>
      <c r="C36" t="inlineStr">
        <is>
          <t>S</t>
        </is>
      </c>
      <c r="D36" t="inlineStr">
        <is>
          <t>z11</t>
        </is>
      </c>
      <c r="E36" t="inlineStr"/>
      <c r="F36" t="inlineStr">
        <is>
          <t>16,7</t>
        </is>
      </c>
      <c r="G36" s="2" t="n">
        <v>1.2</v>
      </c>
      <c r="H36" s="2" t="n">
        <v>0.2</v>
      </c>
      <c r="I36" s="2" t="n">
        <v>0.2004</v>
      </c>
      <c r="J36" s="2">
        <f>I36-H36</f>
        <v/>
      </c>
      <c r="K36" s="2" t="n">
        <v>0.2004</v>
      </c>
      <c r="L36" s="2" t="n">
        <v>0.2004</v>
      </c>
      <c r="M36" s="2" t="n">
        <v>0.2004</v>
      </c>
      <c r="N36" t="inlineStr">
        <is>
          <t>Afronding (0,2004).</t>
        </is>
      </c>
    </row>
    <row r="37">
      <c r="A37" t="inlineStr">
        <is>
          <t>Parkeercontrole 20%</t>
        </is>
      </c>
      <c r="B37" t="inlineStr">
        <is>
          <t>Ombuiging</t>
        </is>
      </c>
      <c r="C37" t="inlineStr">
        <is>
          <t>S</t>
        </is>
      </c>
      <c r="D37" t="inlineStr">
        <is>
          <t>m2</t>
        </is>
      </c>
      <c r="E37" t="inlineStr"/>
      <c r="F37" t="inlineStr">
        <is>
          <t>20</t>
        </is>
      </c>
      <c r="G37" s="2" t="n">
        <v>1</v>
      </c>
      <c r="H37" s="2" t="n">
        <v>0.2</v>
      </c>
      <c r="I37" s="2" t="n">
        <v>0.2</v>
      </c>
      <c r="J37" s="2">
        <f>I37-H37</f>
        <v/>
      </c>
      <c r="K37" s="2" t="n">
        <v>0.2</v>
      </c>
      <c r="L37" s="2" t="n">
        <v>0.2</v>
      </c>
      <c r="M37" s="2" t="n">
        <v>0.2</v>
      </c>
      <c r="N37" t="inlineStr"/>
    </row>
    <row r="38">
      <c r="A38" t="inlineStr">
        <is>
          <t>Elektrisch maken gemeenteauto’s uitstellen</t>
        </is>
      </c>
      <c r="B38" t="inlineStr">
        <is>
          <t>Ombuiging</t>
        </is>
      </c>
      <c r="C38" t="inlineStr">
        <is>
          <t>S</t>
        </is>
      </c>
      <c r="D38" t="inlineStr">
        <is>
          <t>p_emissieloos_wagenpark</t>
        </is>
      </c>
      <c r="E38" t="inlineStr"/>
      <c r="F38" t="inlineStr"/>
      <c r="G38" s="2" t="n"/>
      <c r="H38" s="2" t="n">
        <v>0.172</v>
      </c>
      <c r="I38" s="2" t="n">
        <v>0.172</v>
      </c>
      <c r="J38" s="2">
        <f>I38-H38</f>
        <v/>
      </c>
      <c r="K38" s="2" t="n">
        <v>0.172</v>
      </c>
      <c r="L38" s="2" t="n">
        <v>0.172</v>
      </c>
      <c r="M38" s="2" t="n">
        <v>0.172</v>
      </c>
      <c r="N38" t="inlineStr"/>
    </row>
    <row r="39">
      <c r="A39" t="inlineStr">
        <is>
          <t>Geen geld voor Campus Camera</t>
        </is>
      </c>
      <c r="B39" t="inlineStr">
        <is>
          <t>Ombuiging</t>
        </is>
      </c>
      <c r="C39" t="inlineStr">
        <is>
          <t>S</t>
        </is>
      </c>
      <c r="D39" t="inlineStr">
        <is>
          <t>p_campus_camera</t>
        </is>
      </c>
      <c r="E39" t="inlineStr"/>
      <c r="F39" t="inlineStr"/>
      <c r="G39" s="2" t="n"/>
      <c r="H39" s="2" t="n">
        <v>0.1</v>
      </c>
      <c r="I39" s="2" t="n">
        <v>0.1</v>
      </c>
      <c r="J39" s="2">
        <f>I39-H39</f>
        <v/>
      </c>
      <c r="K39" s="2" t="n">
        <v>0.1</v>
      </c>
      <c r="L39" s="2" t="n">
        <v>0.1</v>
      </c>
      <c r="M39" s="2" t="n">
        <v>0.1</v>
      </c>
      <c r="N39" t="inlineStr"/>
    </row>
    <row r="40">
      <c r="A40" t="inlineStr">
        <is>
          <t>Stoppen met budget internationale solidariteit</t>
        </is>
      </c>
      <c r="B40" t="inlineStr">
        <is>
          <t>Ombuiging</t>
        </is>
      </c>
      <c r="C40" t="inlineStr">
        <is>
          <t>S</t>
        </is>
      </c>
      <c r="D40" t="inlineStr">
        <is>
          <t>p_internationale_solidariteit</t>
        </is>
      </c>
      <c r="E40" t="inlineStr"/>
      <c r="F40" t="inlineStr"/>
      <c r="G40" s="2" t="n"/>
      <c r="H40" s="2" t="n">
        <v>0.05</v>
      </c>
      <c r="I40" s="2" t="n">
        <v>0.05</v>
      </c>
      <c r="J40" s="2">
        <f>I40-H40</f>
        <v/>
      </c>
      <c r="K40" s="2" t="n">
        <v>0.05</v>
      </c>
      <c r="L40" s="2" t="n">
        <v>0.05</v>
      </c>
      <c r="M40" s="2" t="n">
        <v>0.05</v>
      </c>
      <c r="N40" t="inlineStr"/>
    </row>
    <row r="41">
      <c r="A41" t="inlineStr">
        <is>
          <t>Verplichte tegenprestatie in de bijstand (vanaf 2028)</t>
        </is>
      </c>
      <c r="B41" t="inlineStr">
        <is>
          <t>Ombuiging</t>
        </is>
      </c>
      <c r="C41" t="inlineStr">
        <is>
          <t>S</t>
        </is>
      </c>
      <c r="D41" t="inlineStr">
        <is>
          <t>k_tegenprestatie</t>
        </is>
      </c>
      <c r="E41" t="inlineStr"/>
      <c r="F41" t="inlineStr"/>
      <c r="G41" s="2" t="n"/>
      <c r="H41" s="2" t="n">
        <v>0</v>
      </c>
      <c r="I41" s="2" t="n">
        <v>0</v>
      </c>
      <c r="J41" s="2">
        <f>I41-H41</f>
        <v/>
      </c>
      <c r="K41" s="2" t="n">
        <v>0.824</v>
      </c>
      <c r="L41" s="2" t="n">
        <v>1.648</v>
      </c>
      <c r="M41" s="2" t="n">
        <v>1.648</v>
      </c>
      <c r="N41" t="inlineStr">
        <is>
          <t>Fasering: game 0 / 50% / 100% / 100% (0 · 0,824 · 1,648 · 1,648); lineair 0 · 0,533 · 1,067 · 1,6.</t>
        </is>
      </c>
    </row>
    <row r="42">
      <c r="A42" t="inlineStr">
        <is>
          <t>Kettingeffect: overhead werkplaats valt vrij (vanaf 2028)</t>
        </is>
      </c>
      <c r="B42" t="inlineStr">
        <is>
          <t>Ombuiging</t>
        </is>
      </c>
      <c r="C42" t="inlineStr">
        <is>
          <t>S</t>
        </is>
      </c>
      <c r="D42" t="inlineStr">
        <is>
          <t>kd_werkplaats</t>
        </is>
      </c>
      <c r="E42" t="inlineStr">
        <is>
          <t>ja</t>
        </is>
      </c>
      <c r="F42" t="inlineStr"/>
      <c r="G42" s="2" t="n"/>
      <c r="H42" s="2" t="n">
        <v>0</v>
      </c>
      <c r="I42" s="2" t="n">
        <v>0</v>
      </c>
      <c r="J42" s="2">
        <f>I42-H42</f>
        <v/>
      </c>
      <c r="K42" s="2" t="n">
        <v>0.99</v>
      </c>
      <c r="L42" s="2" t="n">
        <v>0.99</v>
      </c>
      <c r="M42" s="2" t="n">
        <v>0.99</v>
      </c>
      <c r="N42" t="inlineStr">
        <is>
          <t>Nieuwe regel: kettingeffect uit de game (niet in het lineaire model).</t>
        </is>
      </c>
    </row>
    <row r="43">
      <c r="A43" t="inlineStr">
        <is>
          <t>Kettingeffect: sneller bouwen, meer OZB (vanaf 2029)</t>
        </is>
      </c>
      <c r="B43" t="inlineStr">
        <is>
          <t>Ombuiging</t>
        </is>
      </c>
      <c r="C43" t="inlineStr">
        <is>
          <t>S</t>
        </is>
      </c>
      <c r="D43" t="inlineStr">
        <is>
          <t>wg_woningbouw</t>
        </is>
      </c>
      <c r="E43" t="inlineStr">
        <is>
          <t>ja</t>
        </is>
      </c>
      <c r="F43" t="inlineStr"/>
      <c r="G43" s="2" t="n"/>
      <c r="H43" s="2" t="n">
        <v>0</v>
      </c>
      <c r="I43" s="2" t="n">
        <v>0</v>
      </c>
      <c r="J43" s="2">
        <f>I43-H43</f>
        <v/>
      </c>
      <c r="K43" s="2" t="n">
        <v>0</v>
      </c>
      <c r="L43" s="2" t="n">
        <v>0.014265504</v>
      </c>
      <c r="M43" s="2" t="n">
        <v>0.028531008</v>
      </c>
      <c r="N43" t="inlineStr">
        <is>
          <t>Nieuwe regel: kettingeffect uit de game (niet in het lineaire model).</t>
        </is>
      </c>
    </row>
    <row r="44">
      <c r="A44" t="inlineStr">
        <is>
          <t>Stoppen met opvang ongedocumenteerden</t>
        </is>
      </c>
      <c r="B44" t="inlineStr">
        <is>
          <t>Ombuiging</t>
        </is>
      </c>
      <c r="C44" t="inlineStr">
        <is>
          <t>I</t>
        </is>
      </c>
      <c r="D44" t="inlineStr">
        <is>
          <t>k_ongedoc</t>
        </is>
      </c>
      <c r="E44" t="inlineStr"/>
      <c r="F44" t="inlineStr"/>
      <c r="G44" s="2" t="n"/>
      <c r="H44" s="2" t="n">
        <v>5.6</v>
      </c>
      <c r="I44" s="2" t="n">
        <v>5.6</v>
      </c>
      <c r="J44" s="2">
        <f>I44-H44</f>
        <v/>
      </c>
      <c r="K44" s="2" t="n">
        <v>0</v>
      </c>
      <c r="L44" s="2" t="n">
        <v>0</v>
      </c>
      <c r="M44" s="2" t="n">
        <v>0</v>
      </c>
      <c r="N44" t="inlineStr"/>
    </row>
    <row r="45">
      <c r="A45" t="inlineStr">
        <is>
          <t>Stoppen met het preventiefonds jeugd</t>
        </is>
      </c>
      <c r="B45" t="inlineStr">
        <is>
          <t>Ombuiging</t>
        </is>
      </c>
      <c r="C45" t="inlineStr">
        <is>
          <t>I</t>
        </is>
      </c>
      <c r="D45" t="inlineStr">
        <is>
          <t>p_preventiefonds_jeugd</t>
        </is>
      </c>
      <c r="E45" t="inlineStr"/>
      <c r="F45" t="inlineStr"/>
      <c r="G45" s="2" t="n"/>
      <c r="H45" s="2" t="n">
        <v>-4.509</v>
      </c>
      <c r="I45" s="2" t="n">
        <v>4.509</v>
      </c>
      <c r="J45" s="2">
        <f>I45-H45</f>
        <v/>
      </c>
      <c r="K45" s="2" t="n">
        <v>0</v>
      </c>
      <c r="L45" s="2" t="n">
        <v>0</v>
      </c>
      <c r="M45" s="2" t="n">
        <v>0</v>
      </c>
      <c r="N45" t="inlineStr">
        <is>
          <t>Teken: in de game is dit STOPPEN met het programma (eenmalige besparing), v1 boekte het als uitgave.</t>
        </is>
      </c>
    </row>
    <row r="46">
      <c r="A46" t="inlineStr">
        <is>
          <t>Stoppen met het werkprogramma bijstand</t>
        </is>
      </c>
      <c r="B46" t="inlineStr">
        <is>
          <t>Ombuiging</t>
        </is>
      </c>
      <c r="C46" t="inlineStr">
        <is>
          <t>I</t>
        </is>
      </c>
      <c r="D46" t="inlineStr">
        <is>
          <t>p_werkprogramma</t>
        </is>
      </c>
      <c r="E46" t="inlineStr"/>
      <c r="F46" t="inlineStr"/>
      <c r="G46" s="2" t="n"/>
      <c r="H46" s="2" t="n">
        <v>-1.05</v>
      </c>
      <c r="I46" s="2" t="n">
        <v>1.05</v>
      </c>
      <c r="J46" s="2">
        <f>I46-H46</f>
        <v/>
      </c>
      <c r="K46" s="2" t="n">
        <v>0</v>
      </c>
      <c r="L46" s="2" t="n">
        <v>0</v>
      </c>
      <c r="M46" s="2" t="n">
        <v>0</v>
      </c>
      <c r="N46" t="inlineStr">
        <is>
          <t>Teken: in de game stoppen met het programma (besparing), v1 als uitgave.</t>
        </is>
      </c>
    </row>
    <row r="47">
      <c r="A47" t="inlineStr">
        <is>
          <t>Route Arbeid+ niet uitbreiden</t>
        </is>
      </c>
      <c r="B47" t="inlineStr">
        <is>
          <t>Ombuiging</t>
        </is>
      </c>
      <c r="C47" t="inlineStr">
        <is>
          <t>I</t>
        </is>
      </c>
      <c r="D47" t="inlineStr">
        <is>
          <t>p_route_arbeid_plus</t>
        </is>
      </c>
      <c r="E47" t="inlineStr"/>
      <c r="F47" t="inlineStr"/>
      <c r="G47" s="2" t="n"/>
      <c r="H47" s="2" t="n">
        <v>-0.35</v>
      </c>
      <c r="I47" s="2" t="n">
        <v>0.35</v>
      </c>
      <c r="J47" s="2">
        <f>I47-H47</f>
        <v/>
      </c>
      <c r="K47" s="2" t="n">
        <v>0</v>
      </c>
      <c r="L47" s="2" t="n">
        <v>0</v>
      </c>
      <c r="M47" s="2" t="n">
        <v>0</v>
      </c>
      <c r="N47" t="inlineStr">
        <is>
          <t>Teken: in de game uitbreiding niet doorzetten (besparing), v1 als uitgave.</t>
        </is>
      </c>
    </row>
    <row r="48">
      <c r="A48" t="inlineStr">
        <is>
          <t>Schrappen cultuurprogramma Niemeyer</t>
        </is>
      </c>
      <c r="B48" t="inlineStr">
        <is>
          <t>Ombuiging</t>
        </is>
      </c>
      <c r="C48" t="inlineStr">
        <is>
          <t>I</t>
        </is>
      </c>
      <c r="D48" t="inlineStr">
        <is>
          <t>p_niemeyer</t>
        </is>
      </c>
      <c r="E48" t="inlineStr"/>
      <c r="F48" t="inlineStr"/>
      <c r="G48" s="2" t="n"/>
      <c r="H48" s="2" t="n">
        <v>0.25</v>
      </c>
      <c r="I48" s="2" t="n">
        <v>0.25</v>
      </c>
      <c r="J48" s="2">
        <f>I48-H48</f>
        <v/>
      </c>
      <c r="K48" s="2" t="n">
        <v>0</v>
      </c>
      <c r="L48" s="2" t="n">
        <v>0</v>
      </c>
      <c r="M48" s="2" t="n">
        <v>0</v>
      </c>
      <c r="N48" t="inlineStr"/>
    </row>
    <row r="49">
      <c r="A49" t="inlineStr">
        <is>
          <t>Stoppen uitvoering plan van aanpak diversiteit</t>
        </is>
      </c>
      <c r="B49" t="inlineStr">
        <is>
          <t>Ombuiging</t>
        </is>
      </c>
      <c r="C49" t="inlineStr">
        <is>
          <t>I</t>
        </is>
      </c>
      <c r="D49" t="inlineStr">
        <is>
          <t>p_diversiteit_organisatie</t>
        </is>
      </c>
      <c r="E49" t="inlineStr"/>
      <c r="F49" t="inlineStr"/>
      <c r="G49" s="2" t="n"/>
      <c r="H49" s="2" t="n">
        <v>0.205</v>
      </c>
      <c r="I49" s="2" t="n">
        <v>0.205</v>
      </c>
      <c r="J49" s="2">
        <f>I49-H49</f>
        <v/>
      </c>
      <c r="K49" s="2" t="n">
        <v>0</v>
      </c>
      <c r="L49" s="2" t="n">
        <v>0</v>
      </c>
      <c r="M49" s="2" t="n">
        <v>0</v>
      </c>
      <c r="N49" t="inlineStr"/>
    </row>
    <row r="50">
      <c r="A50" t="inlineStr">
        <is>
          <t>Organisatiekosten Energiebedrijf Groningen</t>
        </is>
      </c>
      <c r="B50" t="inlineStr">
        <is>
          <t>Ombuiging</t>
        </is>
      </c>
      <c r="C50" t="inlineStr">
        <is>
          <t>I</t>
        </is>
      </c>
      <c r="D50" t="inlineStr">
        <is>
          <t>p_energiebedrijf</t>
        </is>
      </c>
      <c r="E50" t="inlineStr"/>
      <c r="F50" t="inlineStr"/>
      <c r="G50" s="2" t="n"/>
      <c r="H50" s="2" t="n">
        <v>0.201</v>
      </c>
      <c r="I50" s="2" t="n">
        <v>0.201</v>
      </c>
      <c r="J50" s="2">
        <f>I50-H50</f>
        <v/>
      </c>
      <c r="K50" s="2" t="n">
        <v>0</v>
      </c>
      <c r="L50" s="2" t="n">
        <v>0</v>
      </c>
      <c r="M50" s="2" t="n">
        <v>0</v>
      </c>
      <c r="N50" t="inlineStr"/>
    </row>
    <row r="51">
      <c r="A51" t="inlineStr">
        <is>
          <t>Geen gemeentegeld voor dierenartskosten</t>
        </is>
      </c>
      <c r="B51" t="inlineStr">
        <is>
          <t>Ombuiging</t>
        </is>
      </c>
      <c r="C51" t="inlineStr">
        <is>
          <t>I</t>
        </is>
      </c>
      <c r="D51" t="inlineStr">
        <is>
          <t>k_dierenarts</t>
        </is>
      </c>
      <c r="E51" t="inlineStr"/>
      <c r="F51" t="inlineStr"/>
      <c r="G51" s="2" t="n"/>
      <c r="H51" s="2" t="n">
        <v>0.05</v>
      </c>
      <c r="I51" s="2" t="n">
        <v>0.05</v>
      </c>
      <c r="J51" s="2">
        <f>I51-H51</f>
        <v/>
      </c>
      <c r="K51" s="2" t="n">
        <v>0</v>
      </c>
      <c r="L51" s="2" t="n">
        <v>0</v>
      </c>
      <c r="M51" s="2" t="n">
        <v>0</v>
      </c>
      <c r="N51" t="inlineStr"/>
    </row>
    <row r="52">
      <c r="A52" t="inlineStr">
        <is>
          <t>Verlaging OZB 20%</t>
        </is>
      </c>
      <c r="B52" t="inlineStr">
        <is>
          <t>Uitgave</t>
        </is>
      </c>
      <c r="C52" t="inlineStr">
        <is>
          <t>S</t>
        </is>
      </c>
      <c r="D52" t="inlineStr">
        <is>
          <t>t1</t>
        </is>
      </c>
      <c r="E52" t="inlineStr"/>
      <c r="F52" t="inlineStr">
        <is>
          <t>20</t>
        </is>
      </c>
      <c r="G52" s="2" t="n">
        <v>139.441</v>
      </c>
      <c r="H52" s="2" t="n">
        <v>-27.88</v>
      </c>
      <c r="I52" s="2" t="n">
        <v>-27.8882</v>
      </c>
      <c r="J52" s="2">
        <f>I52-H52</f>
        <v/>
      </c>
      <c r="K52" s="2" t="n">
        <v>-27.8882</v>
      </c>
      <c r="L52" s="2" t="n">
        <v>-27.8882</v>
      </c>
      <c r="M52" s="2" t="n">
        <v>-27.8882</v>
      </c>
      <c r="N52" t="inlineStr">
        <is>
          <t>Afronding (27,888).</t>
        </is>
      </c>
    </row>
    <row r="53">
      <c r="A53" t="inlineStr">
        <is>
          <t>Extra investeren in beheer en onderhoud openbare ruimte 20%</t>
        </is>
      </c>
      <c r="B53" t="inlineStr">
        <is>
          <t>Uitgave</t>
        </is>
      </c>
      <c r="C53" t="inlineStr">
        <is>
          <t>S</t>
        </is>
      </c>
      <c r="D53" t="inlineStr">
        <is>
          <t>o1</t>
        </is>
      </c>
      <c r="E53" t="inlineStr"/>
      <c r="F53" t="inlineStr">
        <is>
          <t>20</t>
        </is>
      </c>
      <c r="G53" s="2" t="n">
        <v>70.30000000000001</v>
      </c>
      <c r="H53" s="2" t="n">
        <v>-14.06</v>
      </c>
      <c r="I53" s="2" t="n">
        <v>-14.06</v>
      </c>
      <c r="J53" s="2">
        <f>I53-H53</f>
        <v/>
      </c>
      <c r="K53" s="2" t="n">
        <v>-14.06</v>
      </c>
      <c r="L53" s="2" t="n">
        <v>-14.06</v>
      </c>
      <c r="M53" s="2" t="n">
        <v>-14.06</v>
      </c>
      <c r="N53" t="inlineStr"/>
    </row>
    <row r="54">
      <c r="A54" t="inlineStr">
        <is>
          <t>Kettingeffect: subsidies afbouwen kost tijd</t>
        </is>
      </c>
      <c r="B54" t="inlineStr">
        <is>
          <t>Uitgave</t>
        </is>
      </c>
      <c r="C54" t="inlineStr">
        <is>
          <t>S</t>
        </is>
      </c>
      <c r="D54" t="inlineStr">
        <is>
          <t>jur_subsidies</t>
        </is>
      </c>
      <c r="E54" t="inlineStr">
        <is>
          <t>ja</t>
        </is>
      </c>
      <c r="F54" t="inlineStr"/>
      <c r="G54" s="2" t="n"/>
      <c r="H54" s="2" t="n">
        <v>-0</v>
      </c>
      <c r="I54" s="2" t="n">
        <v>-13.431375</v>
      </c>
      <c r="J54" s="2">
        <f>I54-H54</f>
        <v/>
      </c>
      <c r="K54" s="2" t="n">
        <v>-0</v>
      </c>
      <c r="L54" s="2" t="n">
        <v>-0</v>
      </c>
      <c r="M54" s="2" t="n">
        <v>-0</v>
      </c>
      <c r="N54" t="inlineStr">
        <is>
          <t>Nieuwe regel: kettingeffect uit de game (niet in het lineaire model).</t>
        </is>
      </c>
    </row>
    <row r="55">
      <c r="A55" t="inlineStr">
        <is>
          <t>Jeugdzorg 10%</t>
        </is>
      </c>
      <c r="B55" t="inlineStr">
        <is>
          <t>Uitgave</t>
        </is>
      </c>
      <c r="C55" t="inlineStr">
        <is>
          <t>S</t>
        </is>
      </c>
      <c r="D55" t="inlineStr">
        <is>
          <t>z1</t>
        </is>
      </c>
      <c r="E55" t="inlineStr"/>
      <c r="F55" t="inlineStr">
        <is>
          <t>10</t>
        </is>
      </c>
      <c r="G55" s="2" t="n">
        <v>125.9</v>
      </c>
      <c r="H55" s="2" t="n">
        <v>-12.59</v>
      </c>
      <c r="I55" s="2" t="n">
        <v>-12.59</v>
      </c>
      <c r="J55" s="2">
        <f>I55-H55</f>
        <v/>
      </c>
      <c r="K55" s="2" t="n">
        <v>-12.59</v>
      </c>
      <c r="L55" s="2" t="n">
        <v>-12.59</v>
      </c>
      <c r="M55" s="2" t="n">
        <v>-12.59</v>
      </c>
      <c r="N55" t="inlineStr"/>
    </row>
    <row r="56">
      <c r="A56" t="inlineStr">
        <is>
          <t>Kettingeffect: lopende Wmo-contracten</t>
        </is>
      </c>
      <c r="B56" t="inlineStr">
        <is>
          <t>Uitgave</t>
        </is>
      </c>
      <c r="C56" t="inlineStr">
        <is>
          <t>S</t>
        </is>
      </c>
      <c r="D56" t="inlineStr">
        <is>
          <t>jur_contracten</t>
        </is>
      </c>
      <c r="E56" t="inlineStr">
        <is>
          <t>ja</t>
        </is>
      </c>
      <c r="F56" t="inlineStr"/>
      <c r="G56" s="2" t="n"/>
      <c r="H56" s="2" t="n">
        <v>-0</v>
      </c>
      <c r="I56" s="2" t="n">
        <v>-10.32</v>
      </c>
      <c r="J56" s="2">
        <f>I56-H56</f>
        <v/>
      </c>
      <c r="K56" s="2" t="n">
        <v>-0</v>
      </c>
      <c r="L56" s="2" t="n">
        <v>-0</v>
      </c>
      <c r="M56" s="2" t="n">
        <v>-0</v>
      </c>
      <c r="N56" t="inlineStr">
        <is>
          <t>Nieuwe regel: kettingeffect uit de game (niet in het lineaire model).</t>
        </is>
      </c>
    </row>
    <row r="57">
      <c r="A57" t="inlineStr">
        <is>
          <t>Betaald parkeren verlagen (kortparkeren) 20%</t>
        </is>
      </c>
      <c r="B57" t="inlineStr">
        <is>
          <t>Uitgave</t>
        </is>
      </c>
      <c r="C57" t="inlineStr">
        <is>
          <t>S</t>
        </is>
      </c>
      <c r="D57" t="inlineStr">
        <is>
          <t>t5:kortparkeren</t>
        </is>
      </c>
      <c r="E57" t="inlineStr"/>
      <c r="F57" t="inlineStr">
        <is>
          <t>20</t>
        </is>
      </c>
      <c r="G57" s="2" t="n"/>
      <c r="H57" s="2" t="n">
        <v>-4.72</v>
      </c>
      <c r="I57" s="2" t="n">
        <v>-4.7269906967416</v>
      </c>
      <c r="J57" s="2">
        <f>I57-H57</f>
        <v/>
      </c>
      <c r="K57" s="2" t="n">
        <v>-4.7269906967416</v>
      </c>
      <c r="L57" s="2" t="n">
        <v>-4.7269906967416</v>
      </c>
      <c r="M57" s="2" t="n">
        <v>-4.7269906967416</v>
      </c>
      <c r="N57" t="inlineStr">
        <is>
          <t>Afronding (4,727).</t>
        </is>
      </c>
    </row>
    <row r="58">
      <c r="A58" t="inlineStr">
        <is>
          <t>Kettingeffect: gemeenschappelijke regelingen (GGD, Regio Groningen-Assen)</t>
        </is>
      </c>
      <c r="B58" t="inlineStr">
        <is>
          <t>Uitgave</t>
        </is>
      </c>
      <c r="C58" t="inlineStr">
        <is>
          <t>S</t>
        </is>
      </c>
      <c r="D58" t="inlineStr">
        <is>
          <t>jur_gr</t>
        </is>
      </c>
      <c r="E58" t="inlineStr">
        <is>
          <t>ja</t>
        </is>
      </c>
      <c r="F58" t="inlineStr"/>
      <c r="G58" s="2" t="n"/>
      <c r="H58" s="2" t="n">
        <v>-0</v>
      </c>
      <c r="I58" s="2" t="n">
        <v>-2.675</v>
      </c>
      <c r="J58" s="2">
        <f>I58-H58</f>
        <v/>
      </c>
      <c r="K58" s="2" t="n">
        <v>-2.675</v>
      </c>
      <c r="L58" s="2" t="n">
        <v>-0</v>
      </c>
      <c r="M58" s="2" t="n">
        <v>-0</v>
      </c>
      <c r="N58" t="inlineStr">
        <is>
          <t>Nieuwe regel: kettingeffect uit de game (niet in het lineaire model).</t>
        </is>
      </c>
    </row>
    <row r="59">
      <c r="A59" t="inlineStr">
        <is>
          <t>Intensieve coaching, begeleiding naar werk 10%</t>
        </is>
      </c>
      <c r="B59" t="inlineStr">
        <is>
          <t>Uitgave</t>
        </is>
      </c>
      <c r="C59" t="inlineStr">
        <is>
          <t>S</t>
        </is>
      </c>
      <c r="D59" t="inlineStr">
        <is>
          <t>s3</t>
        </is>
      </c>
      <c r="E59" t="inlineStr"/>
      <c r="F59" t="inlineStr">
        <is>
          <t>10</t>
        </is>
      </c>
      <c r="G59" s="2" t="n">
        <v>23.8</v>
      </c>
      <c r="H59" s="2" t="n">
        <v>-2.38</v>
      </c>
      <c r="I59" s="2" t="n">
        <v>-2.38</v>
      </c>
      <c r="J59" s="2">
        <f>I59-H59</f>
        <v/>
      </c>
      <c r="K59" s="2" t="n">
        <v>-2.38</v>
      </c>
      <c r="L59" s="2" t="n">
        <v>-2.38</v>
      </c>
      <c r="M59" s="2" t="n">
        <v>-2.38</v>
      </c>
      <c r="N59" t="inlineStr"/>
    </row>
    <row r="60">
      <c r="A60" t="inlineStr">
        <is>
          <t>Kettingeffect: bedrijfsafval, gemiste marge en doorlopende kosten</t>
        </is>
      </c>
      <c r="B60" t="inlineStr">
        <is>
          <t>Uitgave</t>
        </is>
      </c>
      <c r="C60" t="inlineStr">
        <is>
          <t>S</t>
        </is>
      </c>
      <c r="D60" t="inlineStr">
        <is>
          <t>kd_bedrijfsafval</t>
        </is>
      </c>
      <c r="E60" t="inlineStr">
        <is>
          <t>ja</t>
        </is>
      </c>
      <c r="F60" t="inlineStr"/>
      <c r="G60" s="2" t="n"/>
      <c r="H60" s="2" t="n">
        <v>-0</v>
      </c>
      <c r="I60" s="2" t="n">
        <v>-1.98</v>
      </c>
      <c r="J60" s="2">
        <f>I60-H60</f>
        <v/>
      </c>
      <c r="K60" s="2" t="n">
        <v>-1.98</v>
      </c>
      <c r="L60" s="2" t="n">
        <v>-1.98</v>
      </c>
      <c r="M60" s="2" t="n">
        <v>-1.98</v>
      </c>
      <c r="N60" t="inlineStr">
        <is>
          <t>Nieuwe regel: kettingeffect uit de game (niet in het lineaire model).</t>
        </is>
      </c>
    </row>
    <row r="61">
      <c r="A61" t="inlineStr">
        <is>
          <t>Parkeergarages goedkoper 20%</t>
        </is>
      </c>
      <c r="B61" t="inlineStr">
        <is>
          <t>Uitgave</t>
        </is>
      </c>
      <c r="C61" t="inlineStr">
        <is>
          <t>S</t>
        </is>
      </c>
      <c r="D61" t="inlineStr">
        <is>
          <t>t5:garages</t>
        </is>
      </c>
      <c r="E61" t="inlineStr"/>
      <c r="F61" t="inlineStr">
        <is>
          <t>20</t>
        </is>
      </c>
      <c r="G61" s="2" t="n"/>
      <c r="H61" s="2" t="n">
        <v>-1.76</v>
      </c>
      <c r="I61" s="2" t="n">
        <v>-1.755</v>
      </c>
      <c r="J61" s="2">
        <f>I61-H61</f>
        <v/>
      </c>
      <c r="K61" s="2" t="n">
        <v>-1.755</v>
      </c>
      <c r="L61" s="2" t="n">
        <v>-1.755</v>
      </c>
      <c r="M61" s="2" t="n">
        <v>-1.755</v>
      </c>
      <c r="N61" t="inlineStr">
        <is>
          <t>Afronding (1,755).</t>
        </is>
      </c>
    </row>
    <row r="62">
      <c r="A62" t="inlineStr">
        <is>
          <t>Sporthallen, zwembaden en ijsbaan 5%</t>
        </is>
      </c>
      <c r="B62" t="inlineStr">
        <is>
          <t>Uitgave</t>
        </is>
      </c>
      <c r="C62" t="inlineStr">
        <is>
          <t>S</t>
        </is>
      </c>
      <c r="D62" t="inlineStr">
        <is>
          <t>k1</t>
        </is>
      </c>
      <c r="E62" t="inlineStr"/>
      <c r="F62" t="inlineStr">
        <is>
          <t>5</t>
        </is>
      </c>
      <c r="G62" s="2" t="n">
        <v>27.3</v>
      </c>
      <c r="H62" s="2" t="n">
        <v>-1.365</v>
      </c>
      <c r="I62" s="2" t="n">
        <v>-1.365</v>
      </c>
      <c r="J62" s="2">
        <f>I62-H62</f>
        <v/>
      </c>
      <c r="K62" s="2" t="n">
        <v>-1.365</v>
      </c>
      <c r="L62" s="2" t="n">
        <v>-1.365</v>
      </c>
      <c r="M62" s="2" t="n">
        <v>-1.365</v>
      </c>
      <c r="N62" t="inlineStr"/>
    </row>
    <row r="63">
      <c r="A63" t="inlineStr">
        <is>
          <t>Zakelijke dienstverlening (werkplaats en bedrijfsafval) 100%</t>
        </is>
      </c>
      <c r="B63" t="inlineStr">
        <is>
          <t>Uitgave</t>
        </is>
      </c>
      <c r="C63" t="inlineStr">
        <is>
          <t>S</t>
        </is>
      </c>
      <c r="D63" t="inlineStr">
        <is>
          <t>o4</t>
        </is>
      </c>
      <c r="E63" t="inlineStr"/>
      <c r="F63" t="inlineStr">
        <is>
          <t>100</t>
        </is>
      </c>
      <c r="G63" s="2" t="n">
        <v>-1.199999999999999</v>
      </c>
      <c r="H63" s="2" t="n">
        <v>-1.2</v>
      </c>
      <c r="I63" s="2" t="n">
        <v>-1.2</v>
      </c>
      <c r="J63" s="2">
        <f>I63-H63</f>
        <v/>
      </c>
      <c r="K63" s="2" t="n">
        <v>-1.2</v>
      </c>
      <c r="L63" s="2" t="n">
        <v>-1.2</v>
      </c>
      <c r="M63" s="2" t="n">
        <v>-1.2</v>
      </c>
      <c r="N63" t="inlineStr"/>
    </row>
    <row r="64">
      <c r="A64" t="inlineStr">
        <is>
          <t>Kettingeffect: restkosten na stoppen opvang ongedocumenteerden</t>
        </is>
      </c>
      <c r="B64" t="inlineStr">
        <is>
          <t>Uitgave</t>
        </is>
      </c>
      <c r="C64" t="inlineStr">
        <is>
          <t>S</t>
        </is>
      </c>
      <c r="D64" t="inlineStr">
        <is>
          <t>zp_ongedocumenteerden</t>
        </is>
      </c>
      <c r="E64" t="inlineStr">
        <is>
          <t>ja</t>
        </is>
      </c>
      <c r="F64" t="inlineStr"/>
      <c r="G64" s="2" t="n"/>
      <c r="H64" s="2" t="n">
        <v>-0</v>
      </c>
      <c r="I64" s="2" t="n">
        <v>-1.12</v>
      </c>
      <c r="J64" s="2">
        <f>I64-H64</f>
        <v/>
      </c>
      <c r="K64" s="2" t="n">
        <v>-1.12</v>
      </c>
      <c r="L64" s="2" t="n">
        <v>-1.12</v>
      </c>
      <c r="M64" s="2" t="n">
        <v>-1.12</v>
      </c>
      <c r="N64" t="inlineStr">
        <is>
          <t>Nieuwe regel: kettingeffect uit de game (niet in het lineaire model).</t>
        </is>
      </c>
    </row>
    <row r="65">
      <c r="A65" t="inlineStr">
        <is>
          <t>Afschaffen reclamebelasting</t>
        </is>
      </c>
      <c r="B65" t="inlineStr">
        <is>
          <t>Uitgave</t>
        </is>
      </c>
      <c r="C65" t="inlineStr">
        <is>
          <t>S</t>
        </is>
      </c>
      <c r="D65" t="inlineStr">
        <is>
          <t>t3</t>
        </is>
      </c>
      <c r="E65" t="inlineStr"/>
      <c r="F65" t="inlineStr"/>
      <c r="G65" s="2" t="n">
        <v>0.98</v>
      </c>
      <c r="H65" s="2" t="n">
        <v>-1</v>
      </c>
      <c r="I65" s="2" t="n">
        <v>-0.98</v>
      </c>
      <c r="J65" s="2">
        <f>I65-H65</f>
        <v/>
      </c>
      <c r="K65" s="2" t="n">
        <v>-0.98</v>
      </c>
      <c r="L65" s="2" t="n">
        <v>-0.98</v>
      </c>
      <c r="M65" s="2" t="n">
        <v>-0.98</v>
      </c>
      <c r="N65" t="inlineStr">
        <is>
          <t>Basis: game 0,98; lineair 1,0.</t>
        </is>
      </c>
    </row>
    <row r="66">
      <c r="A66" t="inlineStr">
        <is>
          <t>Betaald parkeren verlagen vergunningen 20%</t>
        </is>
      </c>
      <c r="B66" t="inlineStr">
        <is>
          <t>Uitgave</t>
        </is>
      </c>
      <c r="C66" t="inlineStr">
        <is>
          <t>S</t>
        </is>
      </c>
      <c r="D66" t="inlineStr">
        <is>
          <t>t5:bewoners_1:tweede, t5:bewoners_1:derde_tm_vijfde, t5:bezoekers, t5:bewoners_1:binnenstad, t5:bedrijven, t5:bewoners_2:tweede, t5:maatschappelijk, t5:mantelzorg</t>
        </is>
      </c>
      <c r="E66" t="inlineStr"/>
      <c r="F66" t="inlineStr">
        <is>
          <t>20</t>
        </is>
      </c>
      <c r="G66" s="2" t="n"/>
      <c r="H66" s="2" t="n">
        <v>-0.78</v>
      </c>
      <c r="I66" s="2" t="n">
        <v>-0.7778093032584001</v>
      </c>
      <c r="J66" s="2">
        <f>I66-H66</f>
        <v/>
      </c>
      <c r="K66" s="2" t="n">
        <v>-0.7778093032584001</v>
      </c>
      <c r="L66" s="2" t="n">
        <v>-0.7778093032584001</v>
      </c>
      <c r="M66" s="2" t="n">
        <v>-0.7778093032584001</v>
      </c>
      <c r="N66" t="inlineStr">
        <is>
          <t>Afronding; som van 8 vergunningsposten in de game.</t>
        </is>
      </c>
    </row>
    <row r="67">
      <c r="A67" t="inlineStr">
        <is>
          <t>Kettingeffect: minder parkeercontrole, minder naheffingen</t>
        </is>
      </c>
      <c r="B67" t="inlineStr">
        <is>
          <t>Uitgave</t>
        </is>
      </c>
      <c r="C67" t="inlineStr">
        <is>
          <t>S</t>
        </is>
      </c>
      <c r="D67" t="inlineStr">
        <is>
          <t>vh_parkeerhandhaving</t>
        </is>
      </c>
      <c r="E67" t="inlineStr">
        <is>
          <t>ja</t>
        </is>
      </c>
      <c r="F67" t="inlineStr"/>
      <c r="G67" s="2" t="n"/>
      <c r="H67" s="2" t="n">
        <v>-0</v>
      </c>
      <c r="I67" s="2" t="n">
        <v>-0.5807840000000001</v>
      </c>
      <c r="J67" s="2">
        <f>I67-H67</f>
        <v/>
      </c>
      <c r="K67" s="2" t="n">
        <v>-0.5807840000000001</v>
      </c>
      <c r="L67" s="2" t="n">
        <v>-0.5807840000000001</v>
      </c>
      <c r="M67" s="2" t="n">
        <v>-0.5807840000000001</v>
      </c>
      <c r="N67" t="inlineStr">
        <is>
          <t>Nieuwe regel: kettingeffect uit de game (niet in het lineaire model).</t>
        </is>
      </c>
    </row>
    <row r="68">
      <c r="A68" t="inlineStr">
        <is>
          <t>Openbare orde en veiligheid (o.a. cameratoezicht) 10%</t>
        </is>
      </c>
      <c r="B68" t="inlineStr">
        <is>
          <t>Uitgave</t>
        </is>
      </c>
      <c r="C68" t="inlineStr">
        <is>
          <t>S</t>
        </is>
      </c>
      <c r="D68" t="inlineStr">
        <is>
          <t>v3</t>
        </is>
      </c>
      <c r="E68" t="inlineStr"/>
      <c r="F68" t="inlineStr">
        <is>
          <t>10</t>
        </is>
      </c>
      <c r="G68" s="2" t="n">
        <v>5.7</v>
      </c>
      <c r="H68" s="2" t="n">
        <v>-0.57</v>
      </c>
      <c r="I68" s="2" t="n">
        <v>-0.57</v>
      </c>
      <c r="J68" s="2">
        <f>I68-H68</f>
        <v/>
      </c>
      <c r="K68" s="2" t="n">
        <v>-0.57</v>
      </c>
      <c r="L68" s="2" t="n">
        <v>-0.57</v>
      </c>
      <c r="M68" s="2" t="n">
        <v>-0.57</v>
      </c>
      <c r="N68" t="inlineStr"/>
    </row>
    <row r="69">
      <c r="A69" t="inlineStr">
        <is>
          <t>Suikerzijde (gebiedsontwikkeling) 10%</t>
        </is>
      </c>
      <c r="B69" t="inlineStr">
        <is>
          <t>Uitgave</t>
        </is>
      </c>
      <c r="C69" t="inlineStr">
        <is>
          <t>S</t>
        </is>
      </c>
      <c r="D69" t="inlineStr">
        <is>
          <t>e8</t>
        </is>
      </c>
      <c r="E69" t="inlineStr"/>
      <c r="F69" t="inlineStr">
        <is>
          <t>10</t>
        </is>
      </c>
      <c r="G69" s="2" t="n">
        <v>4.3</v>
      </c>
      <c r="H69" s="2" t="n">
        <v>-0.43</v>
      </c>
      <c r="I69" s="2" t="n">
        <v>-0.43</v>
      </c>
      <c r="J69" s="2">
        <f>I69-H69</f>
        <v/>
      </c>
      <c r="K69" s="2" t="n">
        <v>-0.43</v>
      </c>
      <c r="L69" s="2" t="n">
        <v>-0.43</v>
      </c>
      <c r="M69" s="2" t="n">
        <v>-0.43</v>
      </c>
      <c r="N69" t="inlineStr"/>
    </row>
    <row r="70">
      <c r="A70" t="inlineStr">
        <is>
          <t>Verlaging precariobelasting 20%</t>
        </is>
      </c>
      <c r="B70" t="inlineStr">
        <is>
          <t>Uitgave</t>
        </is>
      </c>
      <c r="C70" t="inlineStr">
        <is>
          <t>S</t>
        </is>
      </c>
      <c r="D70" t="inlineStr">
        <is>
          <t>t4</t>
        </is>
      </c>
      <c r="E70" t="inlineStr"/>
      <c r="F70" t="inlineStr">
        <is>
          <t>20</t>
        </is>
      </c>
      <c r="G70" s="2" t="n">
        <v>1.866</v>
      </c>
      <c r="H70" s="2" t="n">
        <v>-1.153</v>
      </c>
      <c r="I70" s="2" t="n">
        <v>-0.3732</v>
      </c>
      <c r="J70" s="2">
        <f>I70-H70</f>
        <v/>
      </c>
      <c r="K70" s="2" t="n">
        <v>-0.3732</v>
      </c>
      <c r="L70" s="2" t="n">
        <v>-0.3732</v>
      </c>
      <c r="M70" s="2" t="n">
        <v>-0.3732</v>
      </c>
      <c r="N70" t="inlineStr">
        <is>
          <t>Percentage gewijzigd van −60,7% naar −20% (fractiebesluit); basis 1,866 (Ontwerpbegroting 2027, p. 5/275). v1: 1,153 bij −60,7%.</t>
        </is>
      </c>
    </row>
    <row r="71">
      <c r="A71" t="inlineStr">
        <is>
          <t>Extra boa’s 10%</t>
        </is>
      </c>
      <c r="B71" t="inlineStr">
        <is>
          <t>Uitgave</t>
        </is>
      </c>
      <c r="C71" t="inlineStr">
        <is>
          <t>S</t>
        </is>
      </c>
      <c r="D71" t="inlineStr">
        <is>
          <t>v2</t>
        </is>
      </c>
      <c r="E71" t="inlineStr"/>
      <c r="F71" t="inlineStr">
        <is>
          <t>10</t>
        </is>
      </c>
      <c r="G71" s="2" t="n">
        <v>3.7</v>
      </c>
      <c r="H71" s="2" t="n">
        <v>-0.37</v>
      </c>
      <c r="I71" s="2" t="n">
        <v>-0.37</v>
      </c>
      <c r="J71" s="2">
        <f>I71-H71</f>
        <v/>
      </c>
      <c r="K71" s="2" t="n">
        <v>-0.37</v>
      </c>
      <c r="L71" s="2" t="n">
        <v>-0.37</v>
      </c>
      <c r="M71" s="2" t="n">
        <v>-0.37</v>
      </c>
      <c r="N71" t="inlineStr"/>
    </row>
    <row r="72">
      <c r="A72" t="inlineStr">
        <is>
          <t>Ambtenaren gebiedsontwikkeling 5%</t>
        </is>
      </c>
      <c r="B72" t="inlineStr">
        <is>
          <t>Uitgave</t>
        </is>
      </c>
      <c r="C72" t="inlineStr">
        <is>
          <t>S</t>
        </is>
      </c>
      <c r="D72" t="inlineStr">
        <is>
          <t>e10</t>
        </is>
      </c>
      <c r="E72" t="inlineStr"/>
      <c r="F72" t="inlineStr">
        <is>
          <t>5</t>
        </is>
      </c>
      <c r="G72" s="2" t="n">
        <v>7</v>
      </c>
      <c r="H72" s="2" t="n">
        <v>-0.35</v>
      </c>
      <c r="I72" s="2" t="n">
        <v>-0.35</v>
      </c>
      <c r="J72" s="2">
        <f>I72-H72</f>
        <v/>
      </c>
      <c r="K72" s="2" t="n">
        <v>-0.35</v>
      </c>
      <c r="L72" s="2" t="n">
        <v>-0.35</v>
      </c>
      <c r="M72" s="2" t="n">
        <v>-0.35</v>
      </c>
      <c r="N72" t="inlineStr"/>
    </row>
    <row r="73">
      <c r="A73" t="inlineStr">
        <is>
          <t>Citymarketing en economische activiteiten 15%</t>
        </is>
      </c>
      <c r="B73" t="inlineStr">
        <is>
          <t>Uitgave</t>
        </is>
      </c>
      <c r="C73" t="inlineStr">
        <is>
          <t>S</t>
        </is>
      </c>
      <c r="D73" t="inlineStr">
        <is>
          <t>e3</t>
        </is>
      </c>
      <c r="E73" t="inlineStr"/>
      <c r="F73" t="inlineStr">
        <is>
          <t>15</t>
        </is>
      </c>
      <c r="G73" s="2" t="n">
        <v>2.25</v>
      </c>
      <c r="H73" s="2" t="n">
        <v>-0.345</v>
      </c>
      <c r="I73" s="2" t="n">
        <v>-0.3375</v>
      </c>
      <c r="J73" s="2">
        <f>I73-H73</f>
        <v/>
      </c>
      <c r="K73" s="2" t="n">
        <v>-0.3375</v>
      </c>
      <c r="L73" s="2" t="n">
        <v>-0.3375</v>
      </c>
      <c r="M73" s="2" t="n">
        <v>-0.3375</v>
      </c>
      <c r="N73" t="inlineStr">
        <is>
          <t>Basis: game 2,25; lineair 2,3.</t>
        </is>
      </c>
    </row>
    <row r="74">
      <c r="A74" t="inlineStr">
        <is>
          <t>Verlaging toeristenbelasting 10%</t>
        </is>
      </c>
      <c r="B74" t="inlineStr">
        <is>
          <t>Uitgave</t>
        </is>
      </c>
      <c r="C74" t="inlineStr">
        <is>
          <t>S</t>
        </is>
      </c>
      <c r="D74" t="inlineStr">
        <is>
          <t>t2</t>
        </is>
      </c>
      <c r="E74" t="inlineStr"/>
      <c r="F74" t="inlineStr">
        <is>
          <t>10</t>
        </is>
      </c>
      <c r="G74" s="2" t="n">
        <v>2.998</v>
      </c>
      <c r="H74" s="2" t="n">
        <v>-0.3</v>
      </c>
      <c r="I74" s="2" t="n">
        <v>-0.2998</v>
      </c>
      <c r="J74" s="2">
        <f>I74-H74</f>
        <v/>
      </c>
      <c r="K74" s="2" t="n">
        <v>-0.2998</v>
      </c>
      <c r="L74" s="2" t="n">
        <v>-0.2998</v>
      </c>
      <c r="M74" s="2" t="n">
        <v>-0.2998</v>
      </c>
      <c r="N74" t="inlineStr">
        <is>
          <t>Afronding.</t>
        </is>
      </c>
    </row>
    <row r="75">
      <c r="A75" t="inlineStr">
        <is>
          <t>Burgerzaken (extra) 5%</t>
        </is>
      </c>
      <c r="B75" t="inlineStr">
        <is>
          <t>Uitgave</t>
        </is>
      </c>
      <c r="C75" t="inlineStr">
        <is>
          <t>S</t>
        </is>
      </c>
      <c r="D75" t="inlineStr">
        <is>
          <t>b1</t>
        </is>
      </c>
      <c r="E75" t="inlineStr"/>
      <c r="F75" t="inlineStr">
        <is>
          <t>5</t>
        </is>
      </c>
      <c r="G75" s="2" t="n">
        <v>5.9</v>
      </c>
      <c r="H75" s="2" t="n">
        <v>-0.295</v>
      </c>
      <c r="I75" s="2" t="n">
        <v>-0.295</v>
      </c>
      <c r="J75" s="2">
        <f>I75-H75</f>
        <v/>
      </c>
      <c r="K75" s="2" t="n">
        <v>-0.295</v>
      </c>
      <c r="L75" s="2" t="n">
        <v>-0.295</v>
      </c>
      <c r="M75" s="2" t="n">
        <v>-0.295</v>
      </c>
      <c r="N75" t="inlineStr"/>
    </row>
    <row r="76">
      <c r="A76" t="inlineStr">
        <is>
          <t>Jeugd en veiligheid 10%</t>
        </is>
      </c>
      <c r="B76" t="inlineStr">
        <is>
          <t>Uitgave</t>
        </is>
      </c>
      <c r="C76" t="inlineStr">
        <is>
          <t>S</t>
        </is>
      </c>
      <c r="D76" t="inlineStr">
        <is>
          <t>v5</t>
        </is>
      </c>
      <c r="E76" t="inlineStr"/>
      <c r="F76" t="inlineStr">
        <is>
          <t>10</t>
        </is>
      </c>
      <c r="G76" s="2" t="n">
        <v>2.8</v>
      </c>
      <c r="H76" s="2" t="n">
        <v>-0.28</v>
      </c>
      <c r="I76" s="2" t="n">
        <v>-0.28</v>
      </c>
      <c r="J76" s="2">
        <f>I76-H76</f>
        <v/>
      </c>
      <c r="K76" s="2" t="n">
        <v>-0.28</v>
      </c>
      <c r="L76" s="2" t="n">
        <v>-0.28</v>
      </c>
      <c r="M76" s="2" t="n">
        <v>-0.28</v>
      </c>
      <c r="N76" t="inlineStr"/>
    </row>
    <row r="77">
      <c r="A77" t="inlineStr">
        <is>
          <t>Klantcontactcentrum (extra) 5%</t>
        </is>
      </c>
      <c r="B77" t="inlineStr">
        <is>
          <t>Uitgave</t>
        </is>
      </c>
      <c r="C77" t="inlineStr">
        <is>
          <t>S</t>
        </is>
      </c>
      <c r="D77" t="inlineStr">
        <is>
          <t>b2</t>
        </is>
      </c>
      <c r="E77" t="inlineStr"/>
      <c r="F77" t="inlineStr">
        <is>
          <t>5</t>
        </is>
      </c>
      <c r="G77" s="2" t="n">
        <v>4.1</v>
      </c>
      <c r="H77" s="2" t="n">
        <v>-0.205</v>
      </c>
      <c r="I77" s="2" t="n">
        <v>-0.205</v>
      </c>
      <c r="J77" s="2">
        <f>I77-H77</f>
        <v/>
      </c>
      <c r="K77" s="2" t="n">
        <v>-0.205</v>
      </c>
      <c r="L77" s="2" t="n">
        <v>-0.205</v>
      </c>
      <c r="M77" s="2" t="n">
        <v>-0.205</v>
      </c>
      <c r="N77" t="inlineStr"/>
    </row>
    <row r="78">
      <c r="A78" t="inlineStr">
        <is>
          <t>Leefkwaliteit (groen en spelen in wijken) 5%</t>
        </is>
      </c>
      <c r="B78" t="inlineStr">
        <is>
          <t>Uitgave</t>
        </is>
      </c>
      <c r="C78" t="inlineStr">
        <is>
          <t>S</t>
        </is>
      </c>
      <c r="D78" t="inlineStr">
        <is>
          <t>o6</t>
        </is>
      </c>
      <c r="E78" t="inlineStr"/>
      <c r="F78" t="inlineStr">
        <is>
          <t>5</t>
        </is>
      </c>
      <c r="G78" s="2" t="n">
        <v>4</v>
      </c>
      <c r="H78" s="2" t="n">
        <v>-0.2</v>
      </c>
      <c r="I78" s="2" t="n">
        <v>-0.2</v>
      </c>
      <c r="J78" s="2">
        <f>I78-H78</f>
        <v/>
      </c>
      <c r="K78" s="2" t="n">
        <v>-0.2</v>
      </c>
      <c r="L78" s="2" t="n">
        <v>-0.2</v>
      </c>
      <c r="M78" s="2" t="n">
        <v>-0.2</v>
      </c>
      <c r="N78" t="inlineStr"/>
    </row>
    <row r="79">
      <c r="A79" t="inlineStr">
        <is>
          <t>Ondermijning 10%</t>
        </is>
      </c>
      <c r="B79" t="inlineStr">
        <is>
          <t>Uitgave</t>
        </is>
      </c>
      <c r="C79" t="inlineStr">
        <is>
          <t>S</t>
        </is>
      </c>
      <c r="D79" t="inlineStr">
        <is>
          <t>v4</t>
        </is>
      </c>
      <c r="E79" t="inlineStr"/>
      <c r="F79" t="inlineStr">
        <is>
          <t>10</t>
        </is>
      </c>
      <c r="G79" s="2" t="n">
        <v>1.4</v>
      </c>
      <c r="H79" s="2" t="n">
        <v>-0.14</v>
      </c>
      <c r="I79" s="2" t="n">
        <v>-0.14</v>
      </c>
      <c r="J79" s="2">
        <f>I79-H79</f>
        <v/>
      </c>
      <c r="K79" s="2" t="n">
        <v>-0.14</v>
      </c>
      <c r="L79" s="2" t="n">
        <v>-0.14</v>
      </c>
      <c r="M79" s="2" t="n">
        <v>-0.14</v>
      </c>
      <c r="N79" t="inlineStr"/>
    </row>
    <row r="80">
      <c r="A80" t="inlineStr">
        <is>
          <t>Toezicht op bouwen 5%</t>
        </is>
      </c>
      <c r="B80" t="inlineStr">
        <is>
          <t>Uitgave</t>
        </is>
      </c>
      <c r="C80" t="inlineStr">
        <is>
          <t>S</t>
        </is>
      </c>
      <c r="D80" t="inlineStr">
        <is>
          <t>w10</t>
        </is>
      </c>
      <c r="E80" t="inlineStr"/>
      <c r="F80" t="inlineStr">
        <is>
          <t>5</t>
        </is>
      </c>
      <c r="G80" s="2" t="n">
        <v>2</v>
      </c>
      <c r="H80" s="2" t="n">
        <v>-0.1</v>
      </c>
      <c r="I80" s="2" t="n">
        <v>-0.1</v>
      </c>
      <c r="J80" s="2">
        <f>I80-H80</f>
        <v/>
      </c>
      <c r="K80" s="2" t="n">
        <v>-0.1</v>
      </c>
      <c r="L80" s="2" t="n">
        <v>-0.1</v>
      </c>
      <c r="M80" s="2" t="n">
        <v>-0.1</v>
      </c>
      <c r="N80" t="inlineStr"/>
    </row>
    <row r="81">
      <c r="A81" t="inlineStr">
        <is>
          <t>Sportstimulering 5%</t>
        </is>
      </c>
      <c r="B81" t="inlineStr">
        <is>
          <t>Uitgave</t>
        </is>
      </c>
      <c r="C81" t="inlineStr">
        <is>
          <t>S</t>
        </is>
      </c>
      <c r="D81" t="inlineStr">
        <is>
          <t>k2</t>
        </is>
      </c>
      <c r="E81" t="inlineStr"/>
      <c r="F81" t="inlineStr">
        <is>
          <t>5</t>
        </is>
      </c>
      <c r="G81" s="2" t="n">
        <v>1.8</v>
      </c>
      <c r="H81" s="2" t="n">
        <v>-0.09</v>
      </c>
      <c r="I81" s="2" t="n">
        <v>-0.09</v>
      </c>
      <c r="J81" s="2">
        <f>I81-H81</f>
        <v/>
      </c>
      <c r="K81" s="2" t="n">
        <v>-0.09</v>
      </c>
      <c r="L81" s="2" t="n">
        <v>-0.09</v>
      </c>
      <c r="M81" s="2" t="n">
        <v>-0.09</v>
      </c>
      <c r="N81" t="inlineStr"/>
    </row>
    <row r="82">
      <c r="A82" t="inlineStr">
        <is>
          <t>Extra geld wonen 5%</t>
        </is>
      </c>
      <c r="B82" t="inlineStr">
        <is>
          <t>Uitgave</t>
        </is>
      </c>
      <c r="C82" t="inlineStr">
        <is>
          <t>S</t>
        </is>
      </c>
      <c r="D82" t="inlineStr">
        <is>
          <t>w1</t>
        </is>
      </c>
      <c r="E82" t="inlineStr"/>
      <c r="F82" t="inlineStr">
        <is>
          <t>5</t>
        </is>
      </c>
      <c r="G82" s="2" t="n">
        <v>1.775</v>
      </c>
      <c r="H82" s="2" t="n">
        <v>-0.09</v>
      </c>
      <c r="I82" s="2" t="n">
        <v>-0.08875</v>
      </c>
      <c r="J82" s="2">
        <f>I82-H82</f>
        <v/>
      </c>
      <c r="K82" s="2" t="n">
        <v>-0.08875</v>
      </c>
      <c r="L82" s="2" t="n">
        <v>-0.08875</v>
      </c>
      <c r="M82" s="2" t="n">
        <v>-0.08875</v>
      </c>
      <c r="N82" t="inlineStr">
        <is>
          <t>Afronding (0,08875).</t>
        </is>
      </c>
    </row>
    <row r="83">
      <c r="A83" t="inlineStr">
        <is>
          <t>Bedrijventerreinen en winkelcentra 5%</t>
        </is>
      </c>
      <c r="B83" t="inlineStr">
        <is>
          <t>Uitgave</t>
        </is>
      </c>
      <c r="C83" t="inlineStr">
        <is>
          <t>S</t>
        </is>
      </c>
      <c r="D83" t="inlineStr">
        <is>
          <t>e6</t>
        </is>
      </c>
      <c r="E83" t="inlineStr"/>
      <c r="F83" t="inlineStr">
        <is>
          <t>5</t>
        </is>
      </c>
      <c r="G83" s="2" t="n">
        <v>1.55</v>
      </c>
      <c r="H83" s="2" t="n">
        <v>-0.08</v>
      </c>
      <c r="I83" s="2" t="n">
        <v>-0.0775</v>
      </c>
      <c r="J83" s="2">
        <f>I83-H83</f>
        <v/>
      </c>
      <c r="K83" s="2" t="n">
        <v>-0.0775</v>
      </c>
      <c r="L83" s="2" t="n">
        <v>-0.0775</v>
      </c>
      <c r="M83" s="2" t="n">
        <v>-0.0775</v>
      </c>
      <c r="N83" t="inlineStr">
        <is>
          <t>Afronding (0,0775).</t>
        </is>
      </c>
    </row>
    <row r="84">
      <c r="A84" t="inlineStr">
        <is>
          <t>Kettingeffect: preventie en jeugdzorg (vanaf 2028)</t>
        </is>
      </c>
      <c r="B84" t="inlineStr">
        <is>
          <t>Uitgave</t>
        </is>
      </c>
      <c r="C84" t="inlineStr">
        <is>
          <t>S</t>
        </is>
      </c>
      <c r="D84" t="inlineStr">
        <is>
          <t>zp_preventie_jeugd</t>
        </is>
      </c>
      <c r="E84" t="inlineStr">
        <is>
          <t>ja</t>
        </is>
      </c>
      <c r="F84" t="inlineStr"/>
      <c r="G84" s="2" t="n"/>
      <c r="H84" s="2" t="n">
        <v>-0</v>
      </c>
      <c r="I84" s="2" t="n">
        <v>-0</v>
      </c>
      <c r="J84" s="2">
        <f>I84-H84</f>
        <v/>
      </c>
      <c r="K84" s="2" t="n">
        <v>-2.129775</v>
      </c>
      <c r="L84" s="2" t="n">
        <v>-4.25955</v>
      </c>
      <c r="M84" s="2" t="n">
        <v>-4.25955</v>
      </c>
      <c r="N84" t="inlineStr">
        <is>
          <t>Nieuwe regel: kettingeffect uit de game (niet in het lineaire model).</t>
        </is>
      </c>
    </row>
    <row r="85">
      <c r="A85" t="inlineStr">
        <is>
          <t>Kettingeffect: welzijn, bewegen en Wmo (vanaf 2028)</t>
        </is>
      </c>
      <c r="B85" t="inlineStr">
        <is>
          <t>Uitgave</t>
        </is>
      </c>
      <c r="C85" t="inlineStr">
        <is>
          <t>S</t>
        </is>
      </c>
      <c r="D85" t="inlineStr">
        <is>
          <t>zp_preventie_wmo</t>
        </is>
      </c>
      <c r="E85" t="inlineStr">
        <is>
          <t>ja</t>
        </is>
      </c>
      <c r="F85" t="inlineStr"/>
      <c r="G85" s="2" t="n"/>
      <c r="H85" s="2" t="n">
        <v>-0</v>
      </c>
      <c r="I85" s="2" t="n">
        <v>-0</v>
      </c>
      <c r="J85" s="2">
        <f>I85-H85</f>
        <v/>
      </c>
      <c r="K85" s="2" t="n">
        <v>-0.52185</v>
      </c>
      <c r="L85" s="2" t="n">
        <v>-1.0437</v>
      </c>
      <c r="M85" s="2" t="n">
        <v>-1.0437</v>
      </c>
      <c r="N85" t="inlineStr">
        <is>
          <t>Nieuwe regel: kettingeffect uit de game (niet in het lineaire model).</t>
        </is>
      </c>
    </row>
    <row r="86">
      <c r="A86" t="inlineStr">
        <is>
          <t>Kettingeffect: gemeentefonds (verdeelmodel, vanaf 2028)</t>
        </is>
      </c>
      <c r="B86" t="inlineStr">
        <is>
          <t>Uitgave</t>
        </is>
      </c>
      <c r="C86" t="inlineStr">
        <is>
          <t>S</t>
        </is>
      </c>
      <c r="D86" t="inlineStr">
        <is>
          <t>rijk_verdeelmodel</t>
        </is>
      </c>
      <c r="E86" t="inlineStr">
        <is>
          <t>ja</t>
        </is>
      </c>
      <c r="F86" t="inlineStr"/>
      <c r="G86" s="2" t="n"/>
      <c r="H86" s="2" t="n">
        <v>-0</v>
      </c>
      <c r="I86" s="2" t="n">
        <v>-0</v>
      </c>
      <c r="J86" s="2">
        <f>I86-H86</f>
        <v/>
      </c>
      <c r="K86" s="2" t="n">
        <v>-0.2050648974675</v>
      </c>
      <c r="L86" s="2" t="n">
        <v>-0.4784847607575</v>
      </c>
      <c r="M86" s="2" t="n">
        <v>-0.656149983615</v>
      </c>
      <c r="N86" t="inlineStr">
        <is>
          <t>Nieuwe regel: kettingeffect uit de game (niet in het lineaire model).</t>
        </is>
      </c>
    </row>
    <row r="87">
      <c r="A87" t="inlineStr">
        <is>
          <t>Kettingeffect: cultuur en toeristenbelasting (vanaf 2028)</t>
        </is>
      </c>
      <c r="B87" t="inlineStr">
        <is>
          <t>Uitgave</t>
        </is>
      </c>
      <c r="C87" t="inlineStr">
        <is>
          <t>S</t>
        </is>
      </c>
      <c r="D87" t="inlineStr">
        <is>
          <t>ec_toerisme_cultuur</t>
        </is>
      </c>
      <c r="E87" t="inlineStr">
        <is>
          <t>ja</t>
        </is>
      </c>
      <c r="F87" t="inlineStr"/>
      <c r="G87" s="2" t="n"/>
      <c r="H87" s="2" t="n">
        <v>-0</v>
      </c>
      <c r="I87" s="2" t="n">
        <v>-0</v>
      </c>
      <c r="J87" s="2">
        <f>I87-H87</f>
        <v/>
      </c>
      <c r="K87" s="2" t="n">
        <v>-0.1591453293413174</v>
      </c>
      <c r="L87" s="2" t="n">
        <v>-0.1591453293413174</v>
      </c>
      <c r="M87" s="2" t="n">
        <v>-0.1591453293413174</v>
      </c>
      <c r="N87" t="inlineStr">
        <is>
          <t>Nieuwe regel: kettingeffect uit de game (niet in het lineaire model).</t>
        </is>
      </c>
    </row>
    <row r="88">
      <c r="A88" t="inlineStr">
        <is>
          <t>Kettingeffect: kaartverkoop schouwburg en toeristenbelasting (vanaf 2028)</t>
        </is>
      </c>
      <c r="B88" t="inlineStr">
        <is>
          <t>Uitgave</t>
        </is>
      </c>
      <c r="C88" t="inlineStr">
        <is>
          <t>S</t>
        </is>
      </c>
      <c r="D88" t="inlineStr">
        <is>
          <t>kd_schouwburg</t>
        </is>
      </c>
      <c r="E88" t="inlineStr">
        <is>
          <t>ja</t>
        </is>
      </c>
      <c r="F88" t="inlineStr"/>
      <c r="G88" s="2" t="n"/>
      <c r="H88" s="2" t="n">
        <v>-0</v>
      </c>
      <c r="I88" s="2" t="n">
        <v>-0</v>
      </c>
      <c r="J88" s="2">
        <f>I88-H88</f>
        <v/>
      </c>
      <c r="K88" s="2" t="n">
        <v>-0.05396400000000001</v>
      </c>
      <c r="L88" s="2" t="n">
        <v>-0.05396400000000001</v>
      </c>
      <c r="M88" s="2" t="n">
        <v>-0.05396400000000001</v>
      </c>
      <c r="N88" t="inlineStr">
        <is>
          <t>Nieuwe regel: kettingeffect uit de game (niet in het lineaire model).</t>
        </is>
      </c>
    </row>
    <row r="89">
      <c r="A89" t="inlineStr">
        <is>
          <t>Kettingeffect: meer openbare ruimte door nieuwe woningen (2030)</t>
        </is>
      </c>
      <c r="B89" t="inlineStr">
        <is>
          <t>Uitgave</t>
        </is>
      </c>
      <c r="C89" t="inlineStr">
        <is>
          <t>S</t>
        </is>
      </c>
      <c r="D89" t="inlineStr">
        <is>
          <t>or_areaal</t>
        </is>
      </c>
      <c r="E89" t="inlineStr">
        <is>
          <t>ja</t>
        </is>
      </c>
      <c r="F89" t="inlineStr"/>
      <c r="G89" s="2" t="n"/>
      <c r="H89" s="2" t="n">
        <v>-0</v>
      </c>
      <c r="I89" s="2" t="n">
        <v>-0</v>
      </c>
      <c r="J89" s="2">
        <f>I89-H89</f>
        <v/>
      </c>
      <c r="K89" s="2" t="n">
        <v>-0</v>
      </c>
      <c r="L89" s="2" t="n">
        <v>-0</v>
      </c>
      <c r="M89" s="2" t="n">
        <v>-0.0125</v>
      </c>
      <c r="N89" t="inlineStr">
        <is>
          <t>Nieuwe regel: kettingeffect uit de game (niet in het lineaire model).</t>
        </is>
      </c>
    </row>
    <row r="90">
      <c r="A90" t="inlineStr">
        <is>
          <t>Kettingeffect: frictiekosten minder ambtenaren</t>
        </is>
      </c>
      <c r="B90" t="inlineStr">
        <is>
          <t>Uitgave</t>
        </is>
      </c>
      <c r="C90" t="inlineStr">
        <is>
          <t>I</t>
        </is>
      </c>
      <c r="D90" t="inlineStr">
        <is>
          <t>org_frictie</t>
        </is>
      </c>
      <c r="E90" t="inlineStr">
        <is>
          <t>ja</t>
        </is>
      </c>
      <c r="F90" t="inlineStr"/>
      <c r="G90" s="2" t="n"/>
      <c r="H90" s="2" t="n">
        <v>-0</v>
      </c>
      <c r="I90" s="2" t="n">
        <v>-10.9476</v>
      </c>
      <c r="J90" s="2">
        <f>I90-H90</f>
        <v/>
      </c>
      <c r="K90" s="2" t="n">
        <v>-0</v>
      </c>
      <c r="L90" s="2" t="n">
        <v>-0</v>
      </c>
      <c r="M90" s="2" t="n">
        <v>-0</v>
      </c>
      <c r="N90" t="inlineStr">
        <is>
          <t>Nieuwe regel: kettingeffect uit de game (niet in het lineaire model).</t>
        </is>
      </c>
    </row>
    <row r="91">
      <c r="A91" t="inlineStr">
        <is>
          <t>Kosten onderzoek SMR</t>
        </is>
      </c>
      <c r="B91" t="inlineStr">
        <is>
          <t>Uitgave</t>
        </is>
      </c>
      <c r="C91" t="inlineStr">
        <is>
          <t>I</t>
        </is>
      </c>
      <c r="D91" t="inlineStr">
        <is>
          <t>k_smr_onderzoek</t>
        </is>
      </c>
      <c r="E91" t="inlineStr"/>
      <c r="F91" t="inlineStr"/>
      <c r="G91" s="2" t="n"/>
      <c r="H91" s="2" t="n">
        <v>-0.5</v>
      </c>
      <c r="I91" s="2" t="n">
        <v>-0.5</v>
      </c>
      <c r="J91" s="2">
        <f>I91-H91</f>
        <v/>
      </c>
      <c r="K91" s="2" t="n">
        <v>-0</v>
      </c>
      <c r="L91" s="2" t="n">
        <v>-0</v>
      </c>
      <c r="M91" s="2" t="n">
        <v>-0</v>
      </c>
      <c r="N91" t="inlineStr"/>
    </row>
    <row r="92">
      <c r="A92" t="inlineStr">
        <is>
          <t>Wegenfundering WarmteStad (vervallen)</t>
        </is>
      </c>
      <c r="B92" t="inlineStr">
        <is>
          <t>Ombuiging</t>
        </is>
      </c>
      <c r="C92" t="inlineStr">
        <is>
          <t>I</t>
        </is>
      </c>
      <c r="D92" t="inlineStr">
        <is>
          <t>p_wegenfundering_warmtestad</t>
        </is>
      </c>
      <c r="E92" t="inlineStr"/>
      <c r="F92" t="inlineStr"/>
      <c r="G92" s="2" t="n"/>
      <c r="H92" s="2" t="n">
        <v>0.45</v>
      </c>
      <c r="I92" s="2" t="n">
        <v>0</v>
      </c>
      <c r="J92" s="2">
        <f>I92-H92</f>
        <v/>
      </c>
      <c r="K92" s="2" t="n">
        <v>0</v>
      </c>
      <c r="L92" s="2" t="n">
        <v>0</v>
      </c>
      <c r="M92" s="2" t="n">
        <v>0</v>
      </c>
      <c r="N92" t="inlineStr">
        <is>
          <t>Geschrapt op verzoek van de fractie: het betreft een post uit de begroting 2026 die al heeft plaatsgevonden.</t>
        </is>
      </c>
    </row>
    <row r="93">
      <c r="A93" s="3" t="inlineStr">
        <is>
          <t>Saldo (+ = overschot)</t>
        </is>
      </c>
      <c r="B93" s="3" t="inlineStr"/>
      <c r="C93" s="3" t="inlineStr"/>
      <c r="D93" s="3" t="inlineStr"/>
      <c r="E93" s="3" t="inlineStr"/>
      <c r="F93" s="3" t="inlineStr"/>
      <c r="G93" s="4" t="inlineStr"/>
      <c r="H93" s="4">
        <f>SUM(H2:H92)</f>
        <v/>
      </c>
      <c r="I93" s="4">
        <f>SUM(I2:I92)</f>
        <v/>
      </c>
      <c r="J93" s="4">
        <f>I93-H93</f>
        <v/>
      </c>
      <c r="K93" s="4">
        <f>SUM(K2:K92)</f>
        <v/>
      </c>
      <c r="L93" s="4">
        <f>SUM(L2:L92)</f>
        <v/>
      </c>
      <c r="M93" s="4">
        <f>SUM(M2:M92)</f>
        <v/>
      </c>
      <c r="N93" s="3" t="inlineStr">
        <is>
          <t>v1: 51,475 (storting). Game: 24,728.</t>
        </is>
      </c>
    </row>
    <row r="95">
      <c r="A95" t="inlineStr">
        <is>
          <t>Teken: + = gunstig voor het saldo (ombuiging/opbrengst), − = uitgave of kosten. Bedragen x 1 miljoen euro.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  <col width="11" customWidth="1" min="7" max="7"/>
    <col width="11" customWidth="1" min="8" max="8"/>
    <col width="11" customWidth="1" min="9" max="9"/>
  </cols>
  <sheetData>
    <row r="1">
      <c r="A1" s="1" t="inlineStr">
        <is>
          <t>Omschrijving</t>
        </is>
      </c>
      <c r="B1" s="1" t="inlineStr">
        <is>
          <t>2027</t>
        </is>
      </c>
      <c r="C1" s="1" t="inlineStr">
        <is>
          <t>2028</t>
        </is>
      </c>
      <c r="D1" s="1" t="inlineStr">
        <is>
          <t>2029</t>
        </is>
      </c>
      <c r="E1" s="1" t="inlineStr">
        <is>
          <t>2030</t>
        </is>
      </c>
      <c r="F1" s="1" t="inlineStr">
        <is>
          <t>Mijn 2027 (v1)</t>
        </is>
      </c>
      <c r="G1" s="1" t="inlineStr">
        <is>
          <t>Mijn 2028</t>
        </is>
      </c>
      <c r="H1" s="1" t="inlineStr">
        <is>
          <t>Mijn 2029</t>
        </is>
      </c>
      <c r="I1" s="1" t="inlineStr">
        <is>
          <t>Mijn 2030</t>
        </is>
      </c>
    </row>
    <row r="2">
      <c r="A2" t="inlineStr">
        <is>
          <t>Ombuigingen en opbrengsten, structureel</t>
        </is>
      </c>
      <c r="B2" s="2">
        <f>SUMIFS(Posten!I:I,Posten!$B:$B,"Ombuiging",Posten!$C:$C,"S")</f>
        <v/>
      </c>
      <c r="C2" s="2">
        <f>SUMIFS(Posten!K:K,Posten!$B:$B,"Ombuiging",Posten!$C:$C,"S")</f>
        <v/>
      </c>
      <c r="D2" s="2">
        <f>SUMIFS(Posten!L:L,Posten!$B:$B,"Ombuiging",Posten!$C:$C,"S")</f>
        <v/>
      </c>
      <c r="E2" s="2">
        <f>SUMIFS(Posten!M:M,Posten!$B:$B,"Ombuiging",Posten!$C:$C,"S")</f>
        <v/>
      </c>
      <c r="F2" s="2" t="n">
        <v>123.861</v>
      </c>
      <c r="G2" s="2" t="n">
        <v>137.817</v>
      </c>
      <c r="H2" s="2" t="n">
        <v>151.773</v>
      </c>
      <c r="I2" s="2" t="n">
        <v>165.728</v>
      </c>
    </row>
    <row r="3">
      <c r="A3" t="inlineStr">
        <is>
          <t>Ombuigingen en opbrengsten, incidenteel</t>
        </is>
      </c>
      <c r="B3" s="2">
        <f>SUMIFS(Posten!I:I,Posten!$B:$B,"Ombuiging",Posten!$C:$C,"I")</f>
        <v/>
      </c>
      <c r="C3" s="2">
        <f>SUMIFS(Posten!K:K,Posten!$B:$B,"Ombuiging",Posten!$C:$C,"I")</f>
        <v/>
      </c>
      <c r="D3" s="2">
        <f>SUMIFS(Posten!L:L,Posten!$B:$B,"Ombuiging",Posten!$C:$C,"I")</f>
        <v/>
      </c>
      <c r="E3" s="2">
        <f>SUMIFS(Posten!M:M,Posten!$B:$B,"Ombuiging",Posten!$C:$C,"I")</f>
        <v/>
      </c>
      <c r="F3" s="2" t="n">
        <v>6.756</v>
      </c>
      <c r="G3" s="2" t="n">
        <v>0</v>
      </c>
      <c r="H3" s="2" t="n">
        <v>0</v>
      </c>
      <c r="I3" s="2" t="n">
        <v>0</v>
      </c>
    </row>
    <row r="4">
      <c r="A4" t="inlineStr">
        <is>
          <t>Uitgaven, structureel (als negatief bedrag)</t>
        </is>
      </c>
      <c r="B4" s="2">
        <f>SUMIFS(Posten!I:I,Posten!$B:$B,"Uitgave",Posten!$C:$C,"S")</f>
        <v/>
      </c>
      <c r="C4" s="2">
        <f>SUMIFS(Posten!K:K,Posten!$B:$B,"Uitgave",Posten!$C:$C,"S")</f>
        <v/>
      </c>
      <c r="D4" s="2">
        <f>SUMIFS(Posten!L:L,Posten!$B:$B,"Uitgave",Posten!$C:$C,"S")</f>
        <v/>
      </c>
      <c r="E4" s="2">
        <f>SUMIFS(Posten!M:M,Posten!$B:$B,"Uitgave",Posten!$C:$C,"S")</f>
        <v/>
      </c>
      <c r="F4" s="2" t="n">
        <v>-72.733</v>
      </c>
      <c r="G4" s="2" t="n">
        <v>-72.733</v>
      </c>
      <c r="H4" s="2" t="n">
        <v>-72.733</v>
      </c>
      <c r="I4" s="2" t="n">
        <v>-72.733</v>
      </c>
    </row>
    <row r="5">
      <c r="A5" t="inlineStr">
        <is>
          <t>Uitgaven, incidenteel excl. storting (negatief)</t>
        </is>
      </c>
      <c r="B5" s="2">
        <f>SUMIFS(Posten!I:I,Posten!$B:$B,"Uitgave",Posten!$C:$C,"I")</f>
        <v/>
      </c>
      <c r="C5" s="2">
        <f>SUMIFS(Posten!K:K,Posten!$B:$B,"Uitgave",Posten!$C:$C,"I")</f>
        <v/>
      </c>
      <c r="D5" s="2">
        <f>SUMIFS(Posten!L:L,Posten!$B:$B,"Uitgave",Posten!$C:$C,"I")</f>
        <v/>
      </c>
      <c r="E5" s="2">
        <f>SUMIFS(Posten!M:M,Posten!$B:$B,"Uitgave",Posten!$C:$C,"I")</f>
        <v/>
      </c>
      <c r="F5" s="2" t="n">
        <v>-6.409</v>
      </c>
      <c r="G5" s="2" t="n">
        <v>0</v>
      </c>
      <c r="H5" s="2" t="n">
        <v>0</v>
      </c>
      <c r="I5" s="2" t="n">
        <v>0</v>
      </c>
    </row>
    <row r="6">
      <c r="A6" s="3" t="inlineStr">
        <is>
          <t>Saldo</t>
        </is>
      </c>
      <c r="B6" s="4">
        <f>SUM(B2:B5)</f>
        <v/>
      </c>
      <c r="C6" s="4">
        <f>SUM(C2:C5)</f>
        <v/>
      </c>
      <c r="D6" s="4">
        <f>SUM(D2:D5)</f>
        <v/>
      </c>
      <c r="E6" s="4">
        <f>SUM(E2:E5)</f>
        <v/>
      </c>
      <c r="F6" s="4">
        <f>SUM(F2:F5)</f>
        <v/>
      </c>
      <c r="G6" s="4">
        <f>SUM(G2:G5)</f>
        <v/>
      </c>
      <c r="H6" s="4">
        <f>SUM(H2:H5)</f>
        <v/>
      </c>
      <c r="I6" s="4">
        <f>SUM(I2:I5)</f>
        <v/>
      </c>
    </row>
    <row r="7">
      <c r="A7" t="inlineStr">
        <is>
          <t>waarvan structureel</t>
        </is>
      </c>
      <c r="B7" s="2">
        <f>B2+B4</f>
        <v/>
      </c>
      <c r="C7" s="2">
        <f>C2+C4</f>
        <v/>
      </c>
      <c r="D7" s="2">
        <f>D2+D4</f>
        <v/>
      </c>
      <c r="E7" s="2">
        <f>E2+E4</f>
        <v/>
      </c>
      <c r="F7" s="2">
        <f>F2+F4</f>
        <v/>
      </c>
      <c r="G7" s="2">
        <f>G2+G4</f>
        <v/>
      </c>
      <c r="H7" s="2">
        <f>H2+H4</f>
        <v/>
      </c>
      <c r="I7" s="2">
        <f>I2+I4</f>
        <v/>
      </c>
    </row>
    <row r="8">
      <c r="A8" t="inlineStr">
        <is>
          <t>waarvan incidenteel</t>
        </is>
      </c>
      <c r="B8" s="2">
        <f>B3+B5</f>
        <v/>
      </c>
      <c r="C8" s="2">
        <f>C3+C5</f>
        <v/>
      </c>
      <c r="D8" s="2">
        <f>D3+D5</f>
        <v/>
      </c>
      <c r="E8" s="2">
        <f>E3+E5</f>
        <v/>
      </c>
      <c r="F8" s="2">
        <f>F3+F5</f>
        <v/>
      </c>
      <c r="G8" s="2">
        <f>G3+G5</f>
        <v/>
      </c>
      <c r="H8" s="2">
        <f>H3+H5</f>
        <v/>
      </c>
      <c r="I8" s="2">
        <f>I3+I5</f>
        <v/>
      </c>
    </row>
    <row r="9">
      <c r="A9" t="inlineStr">
        <is>
          <t>Controle: saldo volgens de game (structureel)</t>
        </is>
      </c>
      <c r="B9" s="2" t="n">
        <v>23.960293</v>
      </c>
      <c r="C9" s="2" t="n">
        <v>60.52146877319118</v>
      </c>
      <c r="D9" s="2" t="n">
        <v>75.01463941390116</v>
      </c>
      <c r="E9" s="2" t="n">
        <v>88.26173969504369</v>
      </c>
      <c r="F9" s="2" t="n"/>
      <c r="G9" s="2" t="n"/>
      <c r="H9" s="2" t="n"/>
      <c r="I9" s="2" t="n"/>
    </row>
    <row r="10">
      <c r="A10" t="inlineStr">
        <is>
          <t>Controle: saldo volgens de game (incidenteel)</t>
        </is>
      </c>
      <c r="B10" s="2" t="n">
        <v>0.7674</v>
      </c>
      <c r="C10" s="2" t="n">
        <v>0</v>
      </c>
      <c r="D10" s="2" t="n">
        <v>0</v>
      </c>
      <c r="E10" s="2" t="n">
        <v>0</v>
      </c>
      <c r="F10" s="2" t="n"/>
      <c r="G10" s="2" t="n"/>
      <c r="H10" s="2" t="n"/>
      <c r="I10" s="2" t="n"/>
    </row>
    <row r="11">
      <c r="A11" s="3" t="inlineStr">
        <is>
          <t>Cumulatief saldo</t>
        </is>
      </c>
      <c r="B11" s="4">
        <f>B6</f>
        <v/>
      </c>
      <c r="C11" s="4">
        <f>B11+C6</f>
        <v/>
      </c>
      <c r="D11" s="4">
        <f>C11+D6</f>
        <v/>
      </c>
      <c r="E11" s="4">
        <f>D11+E6</f>
        <v/>
      </c>
      <c r="F11" s="4">
        <f>F6</f>
        <v/>
      </c>
      <c r="G11" s="4">
        <f>F11+G6</f>
        <v/>
      </c>
      <c r="H11" s="4">
        <f>G11+H6</f>
        <v/>
      </c>
      <c r="I11" s="4">
        <f>H11+I6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12" customWidth="1" min="2" max="2"/>
    <col width="14" customWidth="1" min="3" max="3"/>
    <col width="12" customWidth="1" min="4" max="4"/>
    <col width="80" customWidth="1" min="5" max="5"/>
  </cols>
  <sheetData>
    <row r="1">
      <c r="A1" s="1" t="inlineStr">
        <is>
          <t>Post</t>
        </is>
      </c>
      <c r="B1" s="1" t="inlineStr">
        <is>
          <t>Tabel</t>
        </is>
      </c>
      <c r="C1" s="1" t="inlineStr">
        <is>
          <t>Mijn 2027 (v1)</t>
        </is>
      </c>
      <c r="D1" s="1" t="inlineStr">
        <is>
          <t>Game 2027</t>
        </is>
      </c>
      <c r="E1" s="1" t="inlineStr">
        <is>
          <t>Toelichting</t>
        </is>
      </c>
    </row>
    <row r="2">
      <c r="A2" t="inlineStr">
        <is>
          <t>Stoppen met opvang ongedocumenteerden</t>
        </is>
      </c>
      <c r="B2" t="inlineStr">
        <is>
          <t>Ombuiging</t>
        </is>
      </c>
      <c r="C2" s="2" t="n">
        <v>5.6</v>
      </c>
      <c r="D2" s="2" t="n">
        <v>5.6</v>
      </c>
      <c r="E2" t="inlineStr"/>
    </row>
    <row r="3">
      <c r="A3" t="inlineStr">
        <is>
          <t>Stoppen met het preventiefonds jeugd</t>
        </is>
      </c>
      <c r="B3" t="inlineStr">
        <is>
          <t>Ombuiging</t>
        </is>
      </c>
      <c r="C3" s="2" t="n">
        <v>-4.509</v>
      </c>
      <c r="D3" s="2" t="n">
        <v>4.509</v>
      </c>
      <c r="E3" t="inlineStr">
        <is>
          <t>Teken: in de game is dit STOPPEN met het programma (eenmalige besparing), v1 boekte het als uitgave.</t>
        </is>
      </c>
    </row>
    <row r="4">
      <c r="A4" t="inlineStr">
        <is>
          <t>Stoppen met het werkprogramma bijstand</t>
        </is>
      </c>
      <c r="B4" t="inlineStr">
        <is>
          <t>Ombuiging</t>
        </is>
      </c>
      <c r="C4" s="2" t="n">
        <v>-1.05</v>
      </c>
      <c r="D4" s="2" t="n">
        <v>1.05</v>
      </c>
      <c r="E4" t="inlineStr">
        <is>
          <t>Teken: in de game stoppen met het programma (besparing), v1 als uitgave.</t>
        </is>
      </c>
    </row>
    <row r="5">
      <c r="A5" t="inlineStr">
        <is>
          <t>Route Arbeid+ niet uitbreiden</t>
        </is>
      </c>
      <c r="B5" t="inlineStr">
        <is>
          <t>Ombuiging</t>
        </is>
      </c>
      <c r="C5" s="2" t="n">
        <v>-0.35</v>
      </c>
      <c r="D5" s="2" t="n">
        <v>0.35</v>
      </c>
      <c r="E5" t="inlineStr">
        <is>
          <t>Teken: in de game uitbreiding niet doorzetten (besparing), v1 als uitgave.</t>
        </is>
      </c>
    </row>
    <row r="6">
      <c r="A6" t="inlineStr">
        <is>
          <t>Schrappen cultuurprogramma Niemeyer</t>
        </is>
      </c>
      <c r="B6" t="inlineStr">
        <is>
          <t>Ombuiging</t>
        </is>
      </c>
      <c r="C6" s="2" t="n">
        <v>0.25</v>
      </c>
      <c r="D6" s="2" t="n">
        <v>0.25</v>
      </c>
      <c r="E6" t="inlineStr"/>
    </row>
    <row r="7">
      <c r="A7" t="inlineStr">
        <is>
          <t>Stoppen uitvoering plan van aanpak diversiteit</t>
        </is>
      </c>
      <c r="B7" t="inlineStr">
        <is>
          <t>Ombuiging</t>
        </is>
      </c>
      <c r="C7" s="2" t="n">
        <v>0.205</v>
      </c>
      <c r="D7" s="2" t="n">
        <v>0.205</v>
      </c>
      <c r="E7" t="inlineStr"/>
    </row>
    <row r="8">
      <c r="A8" t="inlineStr">
        <is>
          <t>Organisatiekosten Energiebedrijf Groningen</t>
        </is>
      </c>
      <c r="B8" t="inlineStr">
        <is>
          <t>Ombuiging</t>
        </is>
      </c>
      <c r="C8" s="2" t="n">
        <v>0.201</v>
      </c>
      <c r="D8" s="2" t="n">
        <v>0.201</v>
      </c>
      <c r="E8" t="inlineStr"/>
    </row>
    <row r="9">
      <c r="A9" t="inlineStr">
        <is>
          <t>Geen gemeentegeld voor dierenartskosten</t>
        </is>
      </c>
      <c r="B9" t="inlineStr">
        <is>
          <t>Ombuiging</t>
        </is>
      </c>
      <c r="C9" s="2" t="n">
        <v>0.05</v>
      </c>
      <c r="D9" s="2" t="n">
        <v>0.05</v>
      </c>
      <c r="E9" t="inlineStr"/>
    </row>
    <row r="10">
      <c r="A10" t="inlineStr">
        <is>
          <t>Kettingeffect: frictiekosten minder ambtenaren</t>
        </is>
      </c>
      <c r="B10" t="inlineStr">
        <is>
          <t>Uitgave</t>
        </is>
      </c>
      <c r="C10" s="2" t="n">
        <v>-0</v>
      </c>
      <c r="D10" s="2" t="n">
        <v>-10.9476</v>
      </c>
      <c r="E10" t="inlineStr"/>
    </row>
    <row r="11">
      <c r="A11" t="inlineStr">
        <is>
          <t>Kosten onderzoek SMR</t>
        </is>
      </c>
      <c r="B11" t="inlineStr">
        <is>
          <t>Uitgave</t>
        </is>
      </c>
      <c r="C11" s="2" t="n">
        <v>-0.5</v>
      </c>
      <c r="D11" s="2" t="n">
        <v>-0.5</v>
      </c>
      <c r="E11" t="inlineStr"/>
    </row>
    <row r="12">
      <c r="A12" t="inlineStr">
        <is>
          <t>Verbeteren financiële positie (storting reserve)</t>
        </is>
      </c>
      <c r="B12" t="inlineStr">
        <is>
          <t>Uitgave</t>
        </is>
      </c>
      <c r="C12" s="2" t="n">
        <v>-51.475</v>
      </c>
      <c r="D12" s="2" t="n">
        <v>-24.727693</v>
      </c>
      <c r="E12" t="inlineStr">
        <is>
          <t>Sluitpost = saldo 2027 (S + I).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2026-10-31T19:45:09Z</dcterms:created>
  <dcterms:modified xmlns:dcterms="http://purl.org/dc/terms/" xmlns:xsi="http://www.w3.org/2001/XMLSchema-instance" xsi:type="dcterms:W3CDTF">2026-10-31T19:45:09Z</dcterms:modified>
</cp:coreProperties>
</file>